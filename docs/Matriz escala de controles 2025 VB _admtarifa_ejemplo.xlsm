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updateLinks="always" codeName="ThisWorkbook"/>
  <mc:AlternateContent xmlns:mc="http://schemas.openxmlformats.org/markup-compatibility/2006">
    <mc:Choice Requires="x15">
      <x15ac:absPath xmlns:x15ac="http://schemas.microsoft.com/office/spreadsheetml/2010/11/ac" url="C:\Users\kmunoz4\Documents\Riesgo\Administrar Tarifas y Parámetros en Sistemas Banco\"/>
    </mc:Choice>
  </mc:AlternateContent>
  <xr:revisionPtr revIDLastSave="0" documentId="8_{6E83DF0A-CEF7-4846-991B-BBE30A408324}" xr6:coauthVersionLast="47" xr6:coauthVersionMax="47" xr10:uidLastSave="{00000000-0000-0000-0000-000000000000}"/>
  <bookViews>
    <workbookView xWindow="-110" yWindow="-110" windowWidth="19420" windowHeight="10300" tabRatio="792" activeTab="1" xr2:uid="{00000000-000D-0000-FFFF-FFFF00000000}"/>
  </bookViews>
  <sheets>
    <sheet name="V°B°" sheetId="14" r:id="rId1"/>
    <sheet name="Matriz ROP" sheetId="1" r:id="rId2"/>
    <sheet name="Escala Controles." sheetId="17" state="hidden" r:id="rId3"/>
    <sheet name="inherente - residual " sheetId="18" state="hidden" r:id="rId4"/>
    <sheet name="Escala Control" sheetId="16" state="hidden" r:id="rId5"/>
    <sheet name="KRI" sheetId="5" state="hidden" r:id="rId6"/>
    <sheet name="PA" sheetId="13" r:id="rId7"/>
    <sheet name="Escala controles" sheetId="19" r:id="rId8"/>
    <sheet name="Escala" sheetId="2" r:id="rId9"/>
    <sheet name="Tipologías" sheetId="12" state="hidden" r:id="rId10"/>
    <sheet name="Hoja1" sheetId="4" state="hidden" r:id="rId11"/>
  </sheets>
  <externalReferences>
    <externalReference r:id="rId12"/>
  </externalReferences>
  <definedNames>
    <definedName name="_xlnm._FilterDatabase" localSheetId="2" hidden="1">'Escala Controles.'!$A$2:$E$153</definedName>
    <definedName name="_xlnm._FilterDatabase" localSheetId="3" hidden="1">'inherente - residual '!$A$3:$E$155</definedName>
    <definedName name="_xlnm._FilterDatabase" localSheetId="5" hidden="1">KRI!$B$3:$L$4</definedName>
    <definedName name="_xlnm._FilterDatabase" localSheetId="1" hidden="1">'Matriz ROP'!$A$4:$BJ$4</definedName>
    <definedName name="_xlnm._FilterDatabase" localSheetId="6" hidden="1">PA!$A$4:$H$5</definedName>
    <definedName name="_xlnm.Print_Area" localSheetId="1">'Matriz ROP'!$A$2:$Y$25</definedName>
    <definedName name="_xlnm.Print_Area" localSheetId="6">PA!$A$2:$H$5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H14" i="1" l="1"/>
  <c r="BG14" i="1"/>
  <c r="BF14" i="1"/>
  <c r="BE14" i="1"/>
  <c r="BD14" i="1"/>
  <c r="AY14" i="1"/>
  <c r="AW14" i="1"/>
  <c r="AV14" i="1"/>
  <c r="AU14" i="1"/>
  <c r="AT14" i="1"/>
  <c r="AS14" i="1"/>
  <c r="O14" i="1"/>
  <c r="AX14" i="1" l="1"/>
  <c r="BI14" i="1"/>
  <c r="M14" i="1" s="1"/>
  <c r="N14" i="1" s="1"/>
  <c r="AZ14" i="1" s="1"/>
  <c r="BA14" i="1"/>
  <c r="V14" i="1"/>
  <c r="BB14" i="1" l="1"/>
  <c r="W14" i="1" s="1"/>
  <c r="AY15" i="1"/>
  <c r="AW15" i="1"/>
  <c r="AV15" i="1"/>
  <c r="AU15" i="1"/>
  <c r="AT15" i="1"/>
  <c r="AS15" i="1"/>
  <c r="M15" i="1"/>
  <c r="N15" i="1" s="1"/>
  <c r="AY13" i="1"/>
  <c r="AW13" i="1"/>
  <c r="AV13" i="1"/>
  <c r="AU13" i="1"/>
  <c r="AT13" i="1"/>
  <c r="AS13" i="1"/>
  <c r="AY12" i="1"/>
  <c r="AV12" i="1"/>
  <c r="AU12" i="1"/>
  <c r="AT12" i="1"/>
  <c r="AS12" i="1"/>
  <c r="AW12" i="1"/>
  <c r="M13" i="1"/>
  <c r="N13" i="1" s="1"/>
  <c r="M12" i="1"/>
  <c r="N12" i="1" s="1"/>
  <c r="BH11" i="1"/>
  <c r="BG11" i="1"/>
  <c r="BF11" i="1"/>
  <c r="BE11" i="1"/>
  <c r="BD11" i="1"/>
  <c r="AY11" i="1"/>
  <c r="AW11" i="1"/>
  <c r="AV11" i="1"/>
  <c r="AU11" i="1"/>
  <c r="AT11" i="1"/>
  <c r="AS11" i="1"/>
  <c r="O11" i="1"/>
  <c r="BH10" i="1"/>
  <c r="BG10" i="1"/>
  <c r="BF10" i="1"/>
  <c r="BE10" i="1"/>
  <c r="BD10" i="1"/>
  <c r="AY10" i="1"/>
  <c r="AW10" i="1"/>
  <c r="AV10" i="1"/>
  <c r="AU10" i="1"/>
  <c r="AT10" i="1"/>
  <c r="AS10" i="1"/>
  <c r="O10" i="1"/>
  <c r="M6" i="1"/>
  <c r="N6" i="1" s="1"/>
  <c r="M8" i="1"/>
  <c r="BH9" i="1"/>
  <c r="BG9" i="1"/>
  <c r="BF9" i="1"/>
  <c r="BE9" i="1"/>
  <c r="BD9" i="1"/>
  <c r="AY9" i="1"/>
  <c r="AW9" i="1"/>
  <c r="AV9" i="1"/>
  <c r="AU9" i="1"/>
  <c r="AT9" i="1"/>
  <c r="AS9" i="1"/>
  <c r="O9" i="1"/>
  <c r="O6" i="1"/>
  <c r="O7" i="1"/>
  <c r="BH8" i="1"/>
  <c r="BG8" i="1"/>
  <c r="BF8" i="1"/>
  <c r="BE8" i="1"/>
  <c r="BD8" i="1"/>
  <c r="AY8" i="1"/>
  <c r="AW8" i="1"/>
  <c r="AV8" i="1"/>
  <c r="AU8" i="1"/>
  <c r="AT8" i="1"/>
  <c r="AS8" i="1"/>
  <c r="O8" i="1"/>
  <c r="BH7" i="1"/>
  <c r="BG7" i="1"/>
  <c r="BF7" i="1"/>
  <c r="BE7" i="1"/>
  <c r="BD7" i="1"/>
  <c r="AY7" i="1"/>
  <c r="AW7" i="1"/>
  <c r="AV7" i="1"/>
  <c r="AU7" i="1"/>
  <c r="AT7" i="1"/>
  <c r="AS7" i="1"/>
  <c r="BH5" i="1"/>
  <c r="BG5" i="1"/>
  <c r="BF5" i="1"/>
  <c r="BE5" i="1"/>
  <c r="BD5" i="1"/>
  <c r="AY5" i="1"/>
  <c r="AW5" i="1"/>
  <c r="AV5" i="1"/>
  <c r="AU5" i="1"/>
  <c r="AT5" i="1"/>
  <c r="AS5" i="1"/>
  <c r="O5" i="1"/>
  <c r="Y14" i="1" l="1"/>
  <c r="X14" i="1"/>
  <c r="AX15" i="1"/>
  <c r="BA15" i="1" s="1"/>
  <c r="AX13" i="1"/>
  <c r="BA13" i="1" s="1"/>
  <c r="V13" i="1" s="1"/>
  <c r="W13" i="1" s="1"/>
  <c r="AX12" i="1"/>
  <c r="BA12" i="1" s="1"/>
  <c r="AX11" i="1"/>
  <c r="BA11" i="1" s="1"/>
  <c r="V11" i="1" s="1"/>
  <c r="BI11" i="1"/>
  <c r="M11" i="1" s="1"/>
  <c r="N11" i="1" s="1"/>
  <c r="AZ11" i="1" s="1"/>
  <c r="AX9" i="1"/>
  <c r="BA9" i="1" s="1"/>
  <c r="BI10" i="1"/>
  <c r="M10" i="1" s="1"/>
  <c r="N10" i="1" s="1"/>
  <c r="AZ10" i="1" s="1"/>
  <c r="AX10" i="1"/>
  <c r="BA10" i="1" s="1"/>
  <c r="BI9" i="1"/>
  <c r="M9" i="1" s="1"/>
  <c r="N9" i="1" s="1"/>
  <c r="AZ9" i="1" s="1"/>
  <c r="BI8" i="1"/>
  <c r="N8" i="1" s="1"/>
  <c r="BI7" i="1"/>
  <c r="M7" i="1" s="1"/>
  <c r="AX8" i="1"/>
  <c r="BA8" i="1" s="1"/>
  <c r="AX7" i="1"/>
  <c r="BA7" i="1" s="1"/>
  <c r="AX5" i="1"/>
  <c r="BA5" i="1" s="1"/>
  <c r="BI5" i="1"/>
  <c r="M5" i="1" s="1"/>
  <c r="N5" i="1" s="1"/>
  <c r="AZ5" i="1" s="1"/>
  <c r="F8" i="19"/>
  <c r="F7" i="19"/>
  <c r="F6" i="19"/>
  <c r="F5" i="19"/>
  <c r="V15" i="1" l="1"/>
  <c r="W15" i="1" s="1"/>
  <c r="V12" i="1"/>
  <c r="W12" i="1" s="1"/>
  <c r="BB11" i="1"/>
  <c r="W11" i="1" s="1"/>
  <c r="BB10" i="1"/>
  <c r="V10" i="1"/>
  <c r="W10" i="1"/>
  <c r="Y10" i="1" s="1"/>
  <c r="BB9" i="1"/>
  <c r="W9" i="1" s="1"/>
  <c r="Y9" i="1" s="1"/>
  <c r="V9" i="1"/>
  <c r="N7" i="1"/>
  <c r="AZ7" i="1" s="1"/>
  <c r="BB7" i="1" s="1"/>
  <c r="AZ8" i="1"/>
  <c r="V8" i="1"/>
  <c r="V7" i="1"/>
  <c r="V5" i="1"/>
  <c r="W5" i="1" s="1"/>
  <c r="Y5" i="1" s="1"/>
  <c r="BB5" i="1"/>
  <c r="Y11" i="1" l="1"/>
  <c r="X11" i="1"/>
  <c r="X10" i="1"/>
  <c r="X9" i="1"/>
  <c r="BB8" i="1"/>
  <c r="W8" i="1" s="1"/>
  <c r="W7" i="1"/>
  <c r="Y7" i="1" s="1"/>
  <c r="X5" i="1"/>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88" i="17"/>
  <c r="E89" i="17"/>
  <c r="E90" i="17"/>
  <c r="E91" i="17"/>
  <c r="E92" i="17"/>
  <c r="E93" i="17"/>
  <c r="E94" i="17"/>
  <c r="E95" i="17"/>
  <c r="E96" i="17"/>
  <c r="E97" i="17"/>
  <c r="E98" i="17"/>
  <c r="E99" i="17"/>
  <c r="E100" i="17"/>
  <c r="E101" i="17"/>
  <c r="E102" i="17"/>
  <c r="E103" i="17"/>
  <c r="E104" i="17"/>
  <c r="E105" i="17"/>
  <c r="E106" i="17"/>
  <c r="E107" i="17"/>
  <c r="E108" i="17"/>
  <c r="E109" i="17"/>
  <c r="E110" i="17"/>
  <c r="E111" i="17"/>
  <c r="E112" i="17"/>
  <c r="E113" i="17"/>
  <c r="E114" i="17"/>
  <c r="E115" i="17"/>
  <c r="E116" i="17"/>
  <c r="E117" i="17"/>
  <c r="E118" i="17"/>
  <c r="E119" i="17"/>
  <c r="E120" i="17"/>
  <c r="E121" i="17"/>
  <c r="E122" i="17"/>
  <c r="E123" i="17"/>
  <c r="E124" i="17"/>
  <c r="E125" i="17"/>
  <c r="E126" i="17"/>
  <c r="E127" i="17"/>
  <c r="E128" i="17"/>
  <c r="E129" i="17"/>
  <c r="E130" i="17"/>
  <c r="E131" i="17"/>
  <c r="E132" i="17"/>
  <c r="E133" i="17"/>
  <c r="E134" i="17"/>
  <c r="E135" i="17"/>
  <c r="E136" i="17"/>
  <c r="E137" i="17"/>
  <c r="E138" i="17"/>
  <c r="E139" i="17"/>
  <c r="E140" i="17"/>
  <c r="E141" i="17"/>
  <c r="E142" i="17"/>
  <c r="E143" i="17"/>
  <c r="E144" i="17"/>
  <c r="E145" i="17"/>
  <c r="E146" i="17"/>
  <c r="E147" i="17"/>
  <c r="E148" i="17"/>
  <c r="E149" i="17"/>
  <c r="E150" i="17"/>
  <c r="E151" i="17"/>
  <c r="E152" i="17"/>
  <c r="E153" i="17"/>
  <c r="E3" i="17"/>
  <c r="L5" i="18"/>
  <c r="L6" i="18"/>
  <c r="L7" i="18"/>
  <c r="L8" i="18"/>
  <c r="L4" i="18"/>
  <c r="K5" i="18"/>
  <c r="K6" i="18"/>
  <c r="K7" i="18"/>
  <c r="K8" i="18"/>
  <c r="K4" i="18"/>
  <c r="J5" i="18"/>
  <c r="J6" i="18"/>
  <c r="J7" i="18"/>
  <c r="J8" i="18"/>
  <c r="J4" i="18"/>
  <c r="I5" i="18"/>
  <c r="I6" i="18"/>
  <c r="I7" i="18"/>
  <c r="I8" i="18"/>
  <c r="I4" i="18"/>
  <c r="Y8" i="1" l="1"/>
  <c r="X8" i="1"/>
  <c r="X7" i="1"/>
  <c r="J10" i="17"/>
  <c r="J9" i="17"/>
  <c r="I10" i="17"/>
  <c r="I9" i="17"/>
  <c r="H10" i="17"/>
  <c r="H9" i="17"/>
  <c r="G10" i="17"/>
  <c r="G9" i="17"/>
  <c r="Q5" i="17" l="1"/>
  <c r="H6" i="17"/>
  <c r="H5" i="17"/>
  <c r="H4" i="17"/>
  <c r="H3" i="17"/>
  <c r="K8" i="16" l="1"/>
  <c r="C4" i="16"/>
  <c r="D42" i="1" l="1"/>
  <c r="G42" i="1"/>
  <c r="C42" i="1"/>
  <c r="E42" i="1"/>
  <c r="F42" i="1"/>
  <c r="O42" i="1" l="1"/>
  <c r="C43" i="1" s="1"/>
  <c r="V2" i="1"/>
  <c r="C44" i="1" l="1"/>
  <c r="G44" i="1"/>
  <c r="F44" i="1"/>
  <c r="D44" i="1"/>
  <c r="E44" i="1"/>
  <c r="O44" i="1" l="1"/>
  <c r="BA2" i="1"/>
  <c r="BB2" i="1"/>
  <c r="BA3" i="1" s="1"/>
  <c r="W2" i="1" l="1"/>
  <c r="G43" i="1"/>
  <c r="F43" i="1"/>
  <c r="D43" i="1"/>
  <c r="E43" i="1"/>
  <c r="F45" i="1"/>
  <c r="E45" i="1"/>
  <c r="D45" i="1"/>
  <c r="G45" i="1"/>
  <c r="C45" i="1"/>
  <c r="O43" i="1" l="1"/>
  <c r="O45" i="1"/>
</calcChain>
</file>

<file path=xl/sharedStrings.xml><?xml version="1.0" encoding="utf-8"?>
<sst xmlns="http://schemas.openxmlformats.org/spreadsheetml/2006/main" count="2108" uniqueCount="517">
  <si>
    <t>Nombre</t>
  </si>
  <si>
    <t>ESCALA</t>
  </si>
  <si>
    <t>Responsable:</t>
  </si>
  <si>
    <t>IMPACTOS</t>
  </si>
  <si>
    <t>N°</t>
  </si>
  <si>
    <t>Etapas o Actividades</t>
  </si>
  <si>
    <t>Riesgos de Pérdida</t>
  </si>
  <si>
    <t>Tipos de Pérdida Basilea</t>
  </si>
  <si>
    <t>Factor de Riesgo</t>
  </si>
  <si>
    <t>Factor de Riesgo Específico</t>
  </si>
  <si>
    <t>Controles identificados</t>
  </si>
  <si>
    <t>Impacto</t>
  </si>
  <si>
    <t>Monetario</t>
  </si>
  <si>
    <t>Clientes</t>
  </si>
  <si>
    <t>Reputacional</t>
  </si>
  <si>
    <t>Normativo</t>
  </si>
  <si>
    <t>Procesos</t>
  </si>
  <si>
    <t>Probabilidad</t>
  </si>
  <si>
    <t>Riesgo
Inherente</t>
  </si>
  <si>
    <t>Riesgo
Residual</t>
  </si>
  <si>
    <t>Requiere indicador</t>
  </si>
  <si>
    <t>Requiere plan de acción</t>
  </si>
  <si>
    <t>Imp</t>
  </si>
  <si>
    <t>Prob</t>
  </si>
  <si>
    <t>Efect</t>
  </si>
  <si>
    <t>RI</t>
  </si>
  <si>
    <t>RR</t>
  </si>
  <si>
    <t>Apropiación indebida de activos</t>
  </si>
  <si>
    <t>Fraude Interno</t>
  </si>
  <si>
    <t>Abusos de confianza</t>
  </si>
  <si>
    <t>Costos adicionales del proceso</t>
  </si>
  <si>
    <t>Ejecución Entrega Y Gestión De Procesos</t>
  </si>
  <si>
    <t>Errores en introducción, mantención o carga de datos</t>
  </si>
  <si>
    <t>Incapacidad para manejar la carga</t>
  </si>
  <si>
    <t>Fallas en los procesos operativos</t>
  </si>
  <si>
    <t>2 Poco Probable</t>
  </si>
  <si>
    <t>Fraude Externo</t>
  </si>
  <si>
    <t>Suplantación de Identidad</t>
  </si>
  <si>
    <t>Incumplimiento de políticas, normas, leyes o regulaciones</t>
  </si>
  <si>
    <t>Indemnizaciones pagadas a clientes o Terceros</t>
  </si>
  <si>
    <t>Error en el cálculo de precio</t>
  </si>
  <si>
    <t>Incobrabilidad de comisiones</t>
  </si>
  <si>
    <t>Defectos en el diseño o implantación de productos o servicios</t>
  </si>
  <si>
    <t>Falsificación</t>
  </si>
  <si>
    <t>Colusión</t>
  </si>
  <si>
    <t>Transacciones financieras sin fondos</t>
  </si>
  <si>
    <t>Incumplimiento de plazos o responsabilidades</t>
  </si>
  <si>
    <t>Multas y Sanciones</t>
  </si>
  <si>
    <t>Fallas críticas del sistema</t>
  </si>
  <si>
    <t>Incidencias En El Negocio Y Fallas En Los Sistemas</t>
  </si>
  <si>
    <t>Registro incorrecto de clientes</t>
  </si>
  <si>
    <t>BITÁCORA DE ACTUALIZACIÓN</t>
  </si>
  <si>
    <t>FECHA</t>
  </si>
  <si>
    <t>DESCRIPCIÓN</t>
  </si>
  <si>
    <t xml:space="preserve">Cargo </t>
  </si>
  <si>
    <t>Área</t>
  </si>
  <si>
    <t>Realizada por</t>
  </si>
  <si>
    <t>Revisada por</t>
  </si>
  <si>
    <t>Nota: En caso de existir dos evaluaciones de impacto con el mismo resultado, se aplicará el siguiente orden de prelación:
1.- Impacto Monetario
2.- Impacto en Clientes
3.- Impacto Reputacional
4.- Impacto Normativo
5.- Impacto en Procesos</t>
  </si>
  <si>
    <t>Bajo</t>
  </si>
  <si>
    <t>Medio Bajo</t>
  </si>
  <si>
    <t>Medio</t>
  </si>
  <si>
    <t>Medio Alto</t>
  </si>
  <si>
    <t>Alto</t>
  </si>
  <si>
    <t>Total de Riesgos</t>
  </si>
  <si>
    <t>%</t>
  </si>
  <si>
    <t>Criterios de Aceptación</t>
  </si>
  <si>
    <t>Fecha a partir de la cual se comienza a medir</t>
  </si>
  <si>
    <t>Responsable de la entrega de la información</t>
  </si>
  <si>
    <t>VOLVER</t>
  </si>
  <si>
    <t>Ocurrencia</t>
  </si>
  <si>
    <t>Evaluación del Control</t>
  </si>
  <si>
    <t>Oportunidad del Control</t>
  </si>
  <si>
    <t>Alcance del Control</t>
  </si>
  <si>
    <t>Automatización</t>
  </si>
  <si>
    <t>Formalización / Evidencia</t>
  </si>
  <si>
    <t>1. Bajo</t>
  </si>
  <si>
    <t>La materialización del evento no afecta a los clientes.</t>
  </si>
  <si>
    <t>Impacto no relevante para el proceso de negocio; no afecta la reputación de Banco Estado.</t>
  </si>
  <si>
    <t>Impacto no relevante para el proceso de negocio; sin impactos normativos.</t>
  </si>
  <si>
    <t>Impacto no relevante; no afecta otras funciones o procesos del Banco Estado.</t>
  </si>
  <si>
    <t>1 Muy poco probable</t>
  </si>
  <si>
    <t xml:space="preserve">No existen antecedentes acerca de la materialización del riesgo en el pasado y no se espera que ocurra en el futuro. O Amenaza es muy poco probable que se produzca u ocurra 1 vez cada 10 años aprox. </t>
  </si>
  <si>
    <t xml:space="preserve">1. Deficiente </t>
  </si>
  <si>
    <t>No existe, o No se Ejecuta o es correctivo</t>
  </si>
  <si>
    <t>Cobertura parcial</t>
  </si>
  <si>
    <t>Manual sin segregación de funciones</t>
  </si>
  <si>
    <t xml:space="preserve">No está formalizado y no tiene registros de su ejecución </t>
  </si>
  <si>
    <t xml:space="preserve">El evento sólo ocurrirá en circunstancias excepcionales, o como resultado de una combinación de eventos inusuales. O Amenaza es poco probable que se produzca u ocurra rara vez, a lo más 1 vez cada 3 años aprox. </t>
  </si>
  <si>
    <t>2. Medio Bajo</t>
  </si>
  <si>
    <t>El evento materializado afectará a un grupo reducido de clientes (menos de 5.000 como referencia).
O
afectará a menos del 1% de los clientes mayoristas, pero que ninguno de estos sea VIP</t>
  </si>
  <si>
    <t>La interrupción del proceso es percibida sólo al interior del Banco o su conocimiento es muy restringido.</t>
  </si>
  <si>
    <t>El incidente es de conocimiento por el regulador y/o organismos normativos, podría implicar la solicitud de información al Banco en relación a los procesos  y clientes que se han visto afectados.</t>
  </si>
  <si>
    <t>Afecta a otras funciones o procesos, sin interrumpirlo (p.ej. degradación en el nivel de servicio).</t>
  </si>
  <si>
    <t>3. Ocasional</t>
  </si>
  <si>
    <t>Dada la naturaleza del riesgo es razonable esperar su materialización en el corto plazo (un año).
O Amenaza es algo probable que se produzca u ocurra ocasionalmente (una vez en el año). 
O Menos del 2% de los casos (transacciones , operaciones).</t>
  </si>
  <si>
    <t>2. Regular</t>
  </si>
  <si>
    <t>Detectivo</t>
  </si>
  <si>
    <t>Manual con segregación de funciones</t>
  </si>
  <si>
    <t>No está formalizado, pero tiene registro de su ejecución</t>
  </si>
  <si>
    <t>3. Medio</t>
  </si>
  <si>
    <t>El evento materializado afectará a una cantidad no muy significativa de clientes (entre 5.000 y 25.000). O afectará a más del 1%  de clientes mayoristas o al menos 1 cliente VIP</t>
  </si>
  <si>
    <t>El incidente se divulga en medios de comunicación no masivos y/o en las redes sociales, entre 100 y 500 menciones, a una velocidad entre  51 a 100 por hora.
Es percibido principalmente por los clientes del Banco.</t>
  </si>
  <si>
    <t>El incidente, y los impactos que éste genere, deberán ser notificados a el regulador y/o organismos normativos; puede provocar sanciones u observaciones.</t>
  </si>
  <si>
    <t>Afecta a otras funciones o procesos, sin interrumpirlo, pero si se prolonga en el en el tiempo podría impactar en el cumplimiento de los ANS internos.</t>
  </si>
  <si>
    <t>4. Frecuente</t>
  </si>
  <si>
    <t>Se espera que el riesgo se materialice en reiteradas ocasiones en el corto plazo (un año).
O
Amenaza es muy probable que se produzca u ocurra trimestralmente.
O
Entre el 2% y el 10% de los casos (transacciones, operaciones).</t>
  </si>
  <si>
    <t>3. Suficiente</t>
  </si>
  <si>
    <t>Abarca todas las operaciones</t>
  </si>
  <si>
    <t>Control manual o semiautomático con contraposición de funciones</t>
  </si>
  <si>
    <t xml:space="preserve">Esta formalizado y tiene registro de su ejecución  </t>
  </si>
  <si>
    <t>4. Medio Alto</t>
  </si>
  <si>
    <t>El evento materializado  es critico para los clientes y afectará a un número significativo de ellos (entre 5.000 y 25.000).
O afectará a entre el 1% y  el 10% de clientes mayoristas o hasta de 3 clientes VIP</t>
  </si>
  <si>
    <t>El incidente es difundido en medios específicos de denuncia y en las redes sociales, más de 501 menciones a una velocidad de más de 100 menciones por hora.
Es percibido por los otros actores de la industria financiera.</t>
  </si>
  <si>
    <t>El incidente conllevará a una investigación formal del regulador y/o organismos normativos y multas, con alta visibilidad y divulgación a público, alta implicación de directivos del Banco durante el proceso de la investigación.</t>
  </si>
  <si>
    <t>Afecta otras funciones o procesos de forma inmediata, impactando en el cumplimiento de los ANS internos y/o terceras partes involucradas.</t>
  </si>
  <si>
    <t>5. Muy frecuente</t>
  </si>
  <si>
    <t>Se espera que el riesgo se materialice en la mayoría de las situaciones en que se encuentra presente.
O
Amenaza es casi seguro que se produzca u ocurra por lo menos una vez al mes.
O
Sobre el 10% de los casos (transacciones, operaciones).</t>
  </si>
  <si>
    <t>4. Bueno</t>
  </si>
  <si>
    <t>Preventivo</t>
  </si>
  <si>
    <t>Semiautomático con contraposición  de funciones</t>
  </si>
  <si>
    <t>5. Alto</t>
  </si>
  <si>
    <t>Más de un 0,09%</t>
  </si>
  <si>
    <t>El evento materializado  afectará masivamente a los clientes del Banco (sobre 25.000) y será muy sensible para ellos.
O afectará a más del 10% de clientes mayoristas y más de 3 clientes VIP</t>
  </si>
  <si>
    <t>El incidente es difundido ampliamente en los diferentes medios de comunicación masiva a nivel nacional. Podría conducir a un daño significativo en la reputación de Banco Estado.</t>
  </si>
  <si>
    <t>La situación obligará al pronunciamiento público de parte del regulador y/o organismos normativos en relación al incidente, pudiendo verse comprometida la calificación del Banco.</t>
  </si>
  <si>
    <t>Afecta significativamente a otras funciones o procesos de forma inmediata, implicando la interrupción de los procesos que se ven impactados.</t>
  </si>
  <si>
    <t>5. Óptimo</t>
  </si>
  <si>
    <t>Control automático  con monitoreo</t>
  </si>
  <si>
    <t>Está formalizado y difundido, tiene registro de su ejecución y se hace monitoreo sobre su desempeño</t>
  </si>
  <si>
    <t>Riesgo de Pérdida</t>
  </si>
  <si>
    <t>Daños A Activos Materiales</t>
  </si>
  <si>
    <t>Cobros con déficit</t>
  </si>
  <si>
    <t>Acceso no autorizado</t>
  </si>
  <si>
    <t>Accidentes o enfermedades laborales</t>
  </si>
  <si>
    <t>Costos financieros</t>
  </si>
  <si>
    <t>Aplicaciones no soportadas</t>
  </si>
  <si>
    <t>Daños a los activos físicos</t>
  </si>
  <si>
    <t>Arquitectura de TI inflexible</t>
  </si>
  <si>
    <t>Fuga de Clientes</t>
  </si>
  <si>
    <t>Relaciones Laborales Y Seguridad En El Puesto De Trabajo</t>
  </si>
  <si>
    <t>Asignación de perfiles de acceso inadecuados</t>
  </si>
  <si>
    <t>Clientes, productos y prácticas empresariales</t>
  </si>
  <si>
    <t>Ataques a sitios web</t>
  </si>
  <si>
    <t>Indemnizaciones Pagadas a los trabajadores</t>
  </si>
  <si>
    <t>Ataques de Virus</t>
  </si>
  <si>
    <t>Ataques informáticos</t>
  </si>
  <si>
    <t>Negocios no realizados</t>
  </si>
  <si>
    <t>Ausencia masiva de personal</t>
  </si>
  <si>
    <t>Otros Incobrables</t>
  </si>
  <si>
    <t>Baja calidad de los entregables</t>
  </si>
  <si>
    <t>Pagos en exceso</t>
  </si>
  <si>
    <t>Comunicación / información defectuosa</t>
  </si>
  <si>
    <t>Control de cambio ineficaz</t>
  </si>
  <si>
    <t>Corrupción de datos</t>
  </si>
  <si>
    <t>Corte de energía eléctrica, interrupción de servicios básicos</t>
  </si>
  <si>
    <t>Daño intencional de información</t>
  </si>
  <si>
    <t>Daños a los servidores</t>
  </si>
  <si>
    <t>Desastres naturales, incendios, inundaciones</t>
  </si>
  <si>
    <t>Destrucción dolosa de activos</t>
  </si>
  <si>
    <t>Discriminación</t>
  </si>
  <si>
    <t>Documentos jurídicos inexistentes / incompletos</t>
  </si>
  <si>
    <t>Error contable</t>
  </si>
  <si>
    <t>Error en abonos/cargos de dineros en cuentas de clientes</t>
  </si>
  <si>
    <t>Error en cálculo de compensaciones</t>
  </si>
  <si>
    <t>Errores de integridad y veracidad de la información que entregan los sistemas</t>
  </si>
  <si>
    <t>Errores del operador durante el respaldo o mantenimiento o respaldo</t>
  </si>
  <si>
    <t>Falla en minería de datos</t>
  </si>
  <si>
    <t>Falla en proteger la información</t>
  </si>
  <si>
    <t>Fallas eléctricas</t>
  </si>
  <si>
    <t>Fallas en los procesos del proveedor</t>
  </si>
  <si>
    <t>Fallas en los servicios públicos</t>
  </si>
  <si>
    <t>Falta de aseguramiento</t>
  </si>
  <si>
    <t>Falta de conocimiento del negocio</t>
  </si>
  <si>
    <t>Falta de información para detectar, investigar y asignar responsabilidades en caso de eventos de seguridad</t>
  </si>
  <si>
    <t>Falta de infraestructura y elementos de apoyo</t>
  </si>
  <si>
    <t>Falta de personal capacitado</t>
  </si>
  <si>
    <t>Falta de personal clave para la empresa</t>
  </si>
  <si>
    <t>Falta de seguridad física en las instalaciones</t>
  </si>
  <si>
    <t>Fuga de Datos</t>
  </si>
  <si>
    <t>Habilidades inadecuadas</t>
  </si>
  <si>
    <t>Huelgas</t>
  </si>
  <si>
    <t>Hurtos y Robos</t>
  </si>
  <si>
    <t>Imposibilidad de restauración inmediata de servicios básicos</t>
  </si>
  <si>
    <t>Incapacidad para reclutar personal de TI</t>
  </si>
  <si>
    <t>Incumplimiento con contratos de licencias de software</t>
  </si>
  <si>
    <t>Incumplimiento de contrato</t>
  </si>
  <si>
    <t>Indisponibilidad de plataforma o sistemas tecnológicos</t>
  </si>
  <si>
    <t>Indisponibilidad de servicios prestados por proveedores</t>
  </si>
  <si>
    <t>Indisponibilidad de un edificio o conjunto de edificios</t>
  </si>
  <si>
    <t>Indisponibilidad de una aplicación / servicio TI crítico para la ejecución del proceso</t>
  </si>
  <si>
    <t>Indisponibilidad del suministro de efectivo</t>
  </si>
  <si>
    <t>Indisponibilidad masiva de aplicaciones/ servicios TI / comunicaciones</t>
  </si>
  <si>
    <t>Indisponibilidad o destrucción de una Sucursal o Conjunto de Sucursales</t>
  </si>
  <si>
    <t>Indisponibilidad parcial o pérdida del personal clave</t>
  </si>
  <si>
    <t>Inexactitud de informes externos</t>
  </si>
  <si>
    <t>Intrusión de software malicioso</t>
  </si>
  <si>
    <t>Lavado de dinero</t>
  </si>
  <si>
    <t>Litigios relacionados a prestaciones de servicios de terceros</t>
  </si>
  <si>
    <t>Mala administración de parches</t>
  </si>
  <si>
    <t>Nivel de Servicio Bajo</t>
  </si>
  <si>
    <t>Obsolescencia tecnológica</t>
  </si>
  <si>
    <t>Operaciones no Autorizadas</t>
  </si>
  <si>
    <t>Operaciones no reveladas</t>
  </si>
  <si>
    <t>Pérdida de documentos</t>
  </si>
  <si>
    <t>Pérdida de recursos clave de TI</t>
  </si>
  <si>
    <t>Pérdidas de confidencialidad de la información sensible (exposición)</t>
  </si>
  <si>
    <t>Plan de pruebas deficiente</t>
  </si>
  <si>
    <t>Prácticas comerciales o de mercado improcedentes</t>
  </si>
  <si>
    <t>Problemas de configuración</t>
  </si>
  <si>
    <t>Quiebra de proveedores</t>
  </si>
  <si>
    <t>Responsabilidades solidarias en incumplimiento de subcontratistas con su personal</t>
  </si>
  <si>
    <t>Retrasos importantes</t>
  </si>
  <si>
    <t>Revelación de datos sensibles</t>
  </si>
  <si>
    <t>Robo (Centro de procesamiento de datos)</t>
  </si>
  <si>
    <t>Sanciones ambientales</t>
  </si>
  <si>
    <t>Soporte inadecuado</t>
  </si>
  <si>
    <t>Terrorismo, vandalismo, etc.</t>
  </si>
  <si>
    <t>Uso inadecuado de información confidencial</t>
  </si>
  <si>
    <t>Valoración errónea</t>
  </si>
  <si>
    <t>Fecha de implementación</t>
  </si>
  <si>
    <t>Proceso: Nombre del Proceso</t>
  </si>
  <si>
    <t>Nombre del responsable</t>
  </si>
  <si>
    <t>Validación de "Ficha Integral Riesgo Operacional"</t>
  </si>
  <si>
    <t>Nombre del Proceso:</t>
  </si>
  <si>
    <t>Objetivo del Proceso:</t>
  </si>
  <si>
    <t>Alcance del Proceso:</t>
  </si>
  <si>
    <t>Rol</t>
  </si>
  <si>
    <t>Responsable del Proceso</t>
  </si>
  <si>
    <t>Jefe GRNF</t>
  </si>
  <si>
    <t>Fecha de formalización</t>
  </si>
  <si>
    <t xml:space="preserve">Proceso: </t>
  </si>
  <si>
    <t>Nombre de los Indicadores definidos</t>
  </si>
  <si>
    <t>Plan de acción definido</t>
  </si>
  <si>
    <t>Entregable</t>
  </si>
  <si>
    <t>Responsable de la implementación</t>
  </si>
  <si>
    <t>Atributos del control</t>
  </si>
  <si>
    <t>Oportunidad</t>
  </si>
  <si>
    <t>Alcance</t>
  </si>
  <si>
    <t>Formalizacion</t>
  </si>
  <si>
    <t>Segregacion</t>
  </si>
  <si>
    <t>PREVENTIVO</t>
  </si>
  <si>
    <t>TOTAL</t>
  </si>
  <si>
    <t>PARCIAL</t>
  </si>
  <si>
    <t>SI</t>
  </si>
  <si>
    <t>NO</t>
  </si>
  <si>
    <t>Total</t>
  </si>
  <si>
    <t>Tipo de control</t>
  </si>
  <si>
    <t>% Efctividad de control</t>
  </si>
  <si>
    <t>% Efctividad entorno de control</t>
  </si>
  <si>
    <t>SIN CONTROL</t>
  </si>
  <si>
    <t>NO DOCUMENTADO</t>
  </si>
  <si>
    <t>DOCUMENTADO NO FORMALIZADO</t>
  </si>
  <si>
    <t>DOCUMENTADO FORMALIZADO</t>
  </si>
  <si>
    <t>ATRIBUTOS</t>
  </si>
  <si>
    <t>NIVELES DE EFECTIVIDAD</t>
  </si>
  <si>
    <t>DEFICIENTE</t>
  </si>
  <si>
    <t xml:space="preserve">OPORTUNIDAD </t>
  </si>
  <si>
    <t>&gt;50</t>
  </si>
  <si>
    <t>&lt;70</t>
  </si>
  <si>
    <t>REGULAR</t>
  </si>
  <si>
    <t>Control que previene y permite detectar eventos no deseados</t>
  </si>
  <si>
    <t>&gt;70</t>
  </si>
  <si>
    <t>&lt;85</t>
  </si>
  <si>
    <t>SUFICIENTE</t>
  </si>
  <si>
    <t>Control que permite adoptar las medidas necesarias para que el evento no vuelva a producirse (detecta una vez ocurrido el evento)</t>
  </si>
  <si>
    <t>&gt;85</t>
  </si>
  <si>
    <t>&lt;95</t>
  </si>
  <si>
    <t>BUENO</t>
  </si>
  <si>
    <t>No existo control para el riesgo descrito</t>
  </si>
  <si>
    <t>&gt;95</t>
  </si>
  <si>
    <t>OPTIMO</t>
  </si>
  <si>
    <t>El control se ejecuta sobre el total de la operación(es) cursadas</t>
  </si>
  <si>
    <t>E l control se ejecuta sobre una muestra del total de las operaciones</t>
  </si>
  <si>
    <t>Separa las responsabilidades de las diversas actividades en la ejecucion del control</t>
  </si>
  <si>
    <t>Responsabilidad recae sobre un area o rol especifico</t>
  </si>
  <si>
    <t>TIPO DE CONTROL 0,2</t>
  </si>
  <si>
    <t>No existe documentacion que de cuenta de como ejecutar el control</t>
  </si>
  <si>
    <t xml:space="preserve">Existe un documento informal , sin mayor detalle del como se ejecuta </t>
  </si>
  <si>
    <t>Existe un documento informal , sin mayor detalle del como se ejecuta , el cual es conocido por todos los participantes</t>
  </si>
  <si>
    <t>2 Medio Bajo</t>
  </si>
  <si>
    <t>3 Medio</t>
  </si>
  <si>
    <t>Gestionar Curse PCN Transferencia o Emisión Vale Vista</t>
  </si>
  <si>
    <t>Debido a la ausencia del personal clave (Analista Experto o Jefe de Área), ya sea por licencias, renuncias o vacaciones, se produzcan retrasos y/o errores en la ejecución de los procesos críticos de la unidad, tanto para el curse de operaciones como para los cobros de comisiones.</t>
  </si>
  <si>
    <t>Debido a que el rol Cursador o Revisor "da de baja" erróneamente una PCN en la PU; al presionar el botón "Curse" sin haber realizado acciones financieras en Finesse, se produzcan retrasos en el proceso de curse de una transferencia manual (interna/LBTR) o vale vista, provocando reclamos del cliente por no efectuar el pago a tiempo.</t>
  </si>
  <si>
    <t>Por indisponibilidad o caída de la Plataforma Universal se retrase el proceso de curse de una transferencia manual (interna/LBTR) o vale vista, ocasionando reclamos de clientes.</t>
  </si>
  <si>
    <t>Debido a que el Analista Cursador imprime dos veces una PCN, omite el ingreso de datos o se equivoca al digitar el número de PCN en el Habitual, se duplica el pago de una transferencia manual interna o LBTR. Situación que podría ocasionar pérdidas monetarias, reclamos de clientes y daño de imagen a BancoEstado.</t>
  </si>
  <si>
    <t>Por error del sistema PU no se envía la confirmación por correo electrónico al EDN y Revisor, sobre el curse o devolución de una PCN, retrasando el seguimiento de una operación e impactando la experiencia del cliente.</t>
  </si>
  <si>
    <t>Debido a que el rol Cursador no puede ingresar datos de la operación, por falla o indisponibilidad del aplicativo departamental "Habitual" se retrasa el proceso de curse de una transferencia manual LBTR, ocasionando reclamos de clientes.</t>
  </si>
  <si>
    <t>Dada la manualidad del proceso, el rol Revisor se equivoca al crear un ordenante, crear un beneficiario o "Establecer la relación" entre ellos en el aplicativo departamental Habitual. Ocasionando posibles pérdidas monetarias o reclamos de clientes.</t>
  </si>
  <si>
    <t>Por error del Revisor al enviar dos o más veces la misma Nómina (extraída del Habitual) a Sección Pagos Financieros se produzca duplicidad de pago de una transferencia manual LBTR, ocasionando reclamos de clientes y posibles pérdidas monetarias.</t>
  </si>
  <si>
    <t>Debido a que el EDN por error ingresa dos veces una misma operación, pero en PCN distintas dentro del día, se produzca duplicidad de pago de una transferencia manual interna o LBTR. Situación que podría ocasionar pérdidas monetarias, reclamos de clientes y daño de imagen a BE.</t>
  </si>
  <si>
    <t>Debido a la manualidad del proceso, el rol Cursador ingresa erróneamente el monto de un vale vista en el sistema Mercado de Capitales, ocasionando retraso en la generación del documento, posibles pérdidas monetarias (monto demás) o reclamos de clientes (monto inferior).</t>
  </si>
  <si>
    <t>Que debido a la manualidad del proceso los miembros de la Sección de Pagos Financieros omitan el correo del área de Balance con la instrucción de transferencia entre corresponsales, ocasionando retrasos en el proceso y posibles sobregiros de las cuentas en el extranjero y exponiendo a BECH a pérdidas monetarias por concepto de pago de intereses.</t>
  </si>
  <si>
    <t>Que debido a la manualidad en el ingreso y modificación de datos, el rol Digitador genere un mensaje Swift erróneo asociado a una transferencia entre corresponsales, causando retrasos en el proceso, reclamos o posibles pérdidas monetarias asociadas a incumplimientos de pagos con un tercero.</t>
  </si>
  <si>
    <t>1. El equipo cuenta con dos duplas, cada una posee un rol Cursador y Revisor, por lo tanto en caso de ausencia de algún integrante del equipo se cuenta con Back up en la otra dupla o se solicita un recurso adicional si la ausencia es prolongada.
Nota: En 2022 se incorpora y capacita a un recurso adicional, para que preste apoyo al equipo de PCN en caso de ausencia de algún miembro de la dupla.</t>
  </si>
  <si>
    <t>Que debido a error u olvido, el Operador de la Mesa de Dinero no revise el ticket con el cierre del negocio o no ingrese los datos a la planilla Excel de control, dejando operaciones sin ingresar al sistema producto, retrasando el proceso de curse y causando posibles pérdidas operacionales por la diferencia en tipo de cambio.</t>
  </si>
  <si>
    <t>Debido a la manualidad del proceso el Cajero de Tesorería genera un cargo o abono erróneo en Finesse, ocasionando reclamos de clientes por los retrasos y posibles pérdidas operacionales por pagos indebidos.</t>
  </si>
  <si>
    <t>Por error el Administrativo de Tesorería omite la revisión del correo electrónico o de la carta de instrucción al vencimiento del Depósito a Plazo, ocasionando reclamos del cliente o duplicidades que podrían ocasionar pérdidas operacionales.</t>
  </si>
  <si>
    <t>Con el fin de defraudar se modifica el tomador de un Depósito a Plazo en una carta de instrucción (de forma manual o digital), causando posibles pérdidas operacionales.</t>
  </si>
  <si>
    <t>Debido a la manualidad en la digitación de datos en Murex, se produzcan errores en la creación de clientes o cuentas, ocasionando retrasos y posibles pérdidas.</t>
  </si>
  <si>
    <t>Debido a que el Administrativo omite la verificación de datos del cliente o la confirmación de las condiciones de un Spot contra Murex, se produzcan errores en la operación, ocasionando posibles pérdidas o reclamos de clientes.</t>
  </si>
  <si>
    <t xml:space="preserve">Debido a que el Administrativo selecciona una ficha de Excel que no corresponde al cliente, se podría confeccionar un Contrato de Condiciones Generales erróneo mediante la Macro, ocasionando retrasos en la operación de Derivados.
</t>
  </si>
  <si>
    <t>Debido a que el Administrativo comete un error al chequear el Contrato Específico de Derivados recibido por correo electrónico, se podrían generar diferencias en los pagos futuros y posibles pérdidas operacionales.</t>
  </si>
  <si>
    <t>Que debido a la pérdida, extravío o deterioro de un contrato físico de Derivados en el traslado desde el cliente a BE, se produzca retraso en el proceso de custodia e incumplimiento normativo.</t>
  </si>
  <si>
    <t>Que debido a la manualidad implicada, el Administrativo se equivoque al cruzar los mensajes MT300 enviados y recibidos por Swift para confirmar las operaciones de Spot, provocando errores en el proceso de curse de Derivados, liquidación errónea y posibles pérdidas monetarias o reclamos de clientes.</t>
  </si>
  <si>
    <t>Que el Administrativo de Tesorería no revise los datos de la cuenta y montos en la instrucción del cliente por operación de Spot, generando retrasos en el proceso de liquidación y posibles errores con pérdidas operacionales.</t>
  </si>
  <si>
    <t>Con el fin de defraudar el Administrativo modifica la cuenta corriente del cliente BE en Murex para desviar los fondos de una inversión, ocasionando pérdidas y reclamos de clientes.</t>
  </si>
  <si>
    <t xml:space="preserve">Que debido que se realice un cobro mayor a lo establecido por la máxima tasa de intercambio impuesta por el ministerio de hacienda, generando un incumplimiento normativo. </t>
  </si>
  <si>
    <t>Que las tarjetas de MasterCard se encuentren sin chip, generando un cobro de multas.</t>
  </si>
  <si>
    <t>Que personal del mesón de Servicio Atención al Cliente de la sucursal (AAC o Jefe de atención a clientes) extraiga la cinta de la máquina embozadora con intención de obtener datos de clientes y sus tarjetas para realizar fraude, exponiendo al banco a reclamos de clientes y pérdidas monetarias.</t>
  </si>
  <si>
    <t>Que por indisponibilidad tecnológica de los aplicativos o sistemas de apoyo (por ejemplo PU- Escritorio de Negocio), no se encuentren disponibles, expone al Banco a reclamos de clientes por no poder realizar la solicitud de bloqueo de tarjetas.</t>
  </si>
  <si>
    <t xml:space="preserve">Que debido a que el sistema permita la recepción de fondos (luego de 45 días cartera vencida, luego de 6 meses cartera renunciada), para tarjetas que se encuentran eliminadas (con marca E), este genere reprocesos con Nexus y se exponga al banco a posibles reclamos del cliente </t>
  </si>
  <si>
    <t>Que debido a que cuenta se encuentre cancelada y en forma posterior el sistema reutilice el número de cuenta cancelado (dado de baja) en una cuenta nueva, generando que dos o más clientes se encuentran apuntando a una misma cuenta, donde uno de los clientes ocupe el saldo a través de giros o PAC o pagos de servicios del otro cliente, efectos reputacionales negativos para el banco.</t>
  </si>
  <si>
    <t>Que por desconocimiento del cajero, reciba billetes no aptos (billetes con hongos) por caja en depósito de cliente en efectivo y que al realizar el cierre de caja el superior le informe que estos no debían ser canjeados, exponiendo al banco a pérdidas monetarias.</t>
  </si>
  <si>
    <t>Que no se respete el horario o plazo de las aperturas de bóvedas en custodia del Banco, provocando que se encuentren abiertas al momento de un robo o asalto a la Tesorería General. Aumentando la exposición del Banco a pérdidas monetarias</t>
  </si>
  <si>
    <t>Que debido a la divulgación de información sensible (horarios, rutas no fijas y montos de las remesas) a terceros por personal interno Banco o personal de ETV (empresa de transporte de valores), el Banco quede expuesto a pérdidas por robo/asalto a las ETV.</t>
  </si>
  <si>
    <t>Debido a la existencia de un libre acceso a  la zona de estanco desde los accesos internos del Banco (ascensores sector sur), un tercero se dirija al sector con intención de asaltar a la empresa transportadora de valores y/o robar en Tesorería , exponiendo al Banco a pérdida monetarias.</t>
  </si>
  <si>
    <t xml:space="preserve">Que debido a una colusión entre Jefe Administrativo/Agente y Cajero Tesorero de la Sucursal,  éste último obtenga los V°B° del Jefe Administrativo o Agente ingresado en el sistema un monto incorrecto al cierre diario de caja para remesas que deben ir a Banco Central, lo que no permita detectar la apropiación de fondos, exponiendo al Banco a pérdidas monetarias. </t>
  </si>
  <si>
    <t>Que el Tesorero Regional solicite un servicio de transporte de efectivo y posterior a esto lo anule sin autorización de la Tesorería Central, el Banco se expone a diferencias contables o potenciales pérdidas, producto que el transporte ya fue contabilizado y la remesa ya va en transito.</t>
  </si>
  <si>
    <t>Debido a que una Sucursal o Tesorería regional realice más solicitudes de las que corresponden quede con sobre stock de efectivo generando que se exceda el monto máximo asegurado y en el caso de robo y/o hurto el Banco se exponga a pérdidas operacionales</t>
  </si>
  <si>
    <t>Debido a la utilización de calefactores, ventiladores u otros elementos eléctricos en las instalaciones de la Tesorería, se produzcan incendios o eventos que generen pérdidas o deterioro del efectivo resguardado en las bóvedas.</t>
  </si>
  <si>
    <t>Que terceros suplanten al personal de la ETV con el objeto de retirar remesas desde bóvedas de Tesorería Central y Sucursales, exponiéndolo a pérdidas monetarias producto de robos y/o asaltos.</t>
  </si>
  <si>
    <t>Que las dependencias de proveedor (ETV) sufran de robo (interno-externo) o asaltos, exponiendo al Banco a pérdidas monetarias.</t>
  </si>
  <si>
    <t>Que debido a hurtos o asalto a las ETV, durante el trayecto o al realizar la carga/descarga de efectivo en sucursales Banco o ATMs remotos, el Banco quede expuesto daños de imagen por no contar con efectivo en sus canales y potenciales pérdidas monetarias.</t>
  </si>
  <si>
    <t>Debido a que la sucursal no cumpla con el protocolo de recuento al momento de recibir la recaudación  por parte de la ETV, pueden existir diferencias en el depósito a la cuenta corriente (lo recaudado) o retraso en deposito,  lo que expone al Banco a posibles pérdidas.</t>
  </si>
  <si>
    <t>Que un ejecutivo de Negocios - Banca Institucional cree su propia nómina, incorporando carta de instrucción y V°B° del cliente, y solicite vía correo electrónico la transferencia masiva al Dpto. Adm. Cartera y Control Contable MX.</t>
  </si>
  <si>
    <t>Que el Rol Analista Comex  edite los datos de la nómina (beneficiarios) sin alterar los montos.</t>
  </si>
  <si>
    <t>Que el Rol Operador edite los datos de la nómina (beneficiarios) sin alterar los montos.</t>
  </si>
  <si>
    <t>Que el Rol Operador ingrese un valor del tipo de cambio en forma errónea en el Sistema de Cambios Internacionales</t>
  </si>
  <si>
    <t>Que el Rol Operador o Rol Analista Comex por error realice cambios en los datos que se encuentran en el archivo de origen antes de realizar la carga en el Sistema de Cambios Internacionales.</t>
  </si>
  <si>
    <t>Que un ejecutivo de Banca Institucional envíe en forma duplicada una nómina.</t>
  </si>
  <si>
    <t>Que operaciones Comex (Rol Operador o Rol Supervisor)  no procese una transferencia masiva y no se ejecute el envío de los fondos.</t>
  </si>
  <si>
    <t xml:space="preserve">Que al realizar la carga de los archivos de transferencia desde el portal al sistema de Cambios Internacionales y posteriormente al Swift, queden registros sin procesar. </t>
  </si>
  <si>
    <t xml:space="preserve">Que se realice la transferencia de fondos al exterior sin contar con los fondos </t>
  </si>
  <si>
    <t>Que al operar en contingencia por indisponibilidad del Portal de Pagos MX, en el área que entrega el soporte y la carga de nóminas manuales se incorpore a destinatarios de transferencias no autorizados generando pérdidas monetarias para el Banco</t>
  </si>
  <si>
    <t>Que debido a una caída global del Sanction Screening no se realice la revisión de una operación a través de esta herramienta, por lo que las operaciones sean enviadas a beneficiarios/ destinatarios que se encuentren en listas restringidas, generando incumplimientos normativos o pérdidas por fraude.</t>
  </si>
  <si>
    <t>Que un tercero suplante a un cliente a través del correo electrónico, solicitando realizar una transferencia masiva (cliente PDI), generando fraudes a los clientes debiendo el Banco recompensar al cliente.</t>
  </si>
  <si>
    <t>Debido a que el ejecutivo de la mesa de soporte mayorista ante la solicitud del cliente de cargar nóminas en el portal de pagos, en un escenario de contingencia   (lo que le impide autorizar y provisionar), debe extraerla del mail enviado por el cliente y dejarla en su equipo para poder realizar la carga, existe la posibilidad de adulterar la nómina y realizar traspasos de fondos a otras cuentas o cuentas de un tercero (distintas a las instruidas por el cliente), implicando una potencial pérdida para el Banco.</t>
  </si>
  <si>
    <t>Que debido a la ocurrencia de problemas en el servidor Servidor S2K_Inetdatos, los encargados de convenio deban descargar las nóminas desde Middle Office, e ingresarlas manualmente al proceso, existe la posibilidad de adulterar los parámetros de éstas, exponiendo al Banco a pérdidas monetarias.</t>
  </si>
  <si>
    <t>Que no se pueda cumplir con la obligación de pago instruida por el cliente, producto que las nóminas no ingresan al proceso de pago por diversas razones no alertadas, exponiendo al Banco a reclamos de los clientes.</t>
  </si>
  <si>
    <t xml:space="preserve">Que ante la necesidad del cliente de autorizar o provisionar nómina en contingencia, el encargado de convenios por error u omisión, realice una de estas acciones, antes de contar con la solicitud del cliente (carta de instrucción) y las validaciones de firmas por parte del Ejecutivo Comercial, exponiendo al Banco a pérdidas monetaria por no cumplir con los procedimientos establecidos para validación de cliente.
</t>
  </si>
  <si>
    <t>Debido a la indisponibilidad del Portal de Pagos, Sitio Privado Banco o del Servidor S2K_Inetdatos/ Plataforma WEB, no es posible subir, autorizar, provisionar o procesar los pagos de la nóminas, lo que implica reclamos de clientes /beneficiario del pago (adscrito) por no cumplir con la obligación  pactada.</t>
  </si>
  <si>
    <t>Debido a encolamiento de las nóminas en Inetdatos, existe la posibilidad de no procesar una o más nóminas, exponiendo al banco a reclamos de clientes por incumplimiento de obligación.</t>
  </si>
  <si>
    <t>Debido a errores en la ejecución de malla o los inyectores en línea, existe la posibilidad de duplicar los pagos en el proceso de regularización o vuelta atrás del Batch exponiendo al Banco a pérdidas por reproceso o no recupero.</t>
  </si>
  <si>
    <t>Debido a problemas con el enlace SFTP entre IPS y Banco, no sea posible descargar el archivo para proceso de validación pactado con IPS, generando retrasos en el abono de las pensiones, exponiendo al Banco a daños de imagen por no cumplir con lo instruido por el cliente.</t>
  </si>
  <si>
    <t>Producto de una contención del mainframe y falla en computador central se produce caída de plataformas y retrasos en los inyectores, afectando el normal funcionamiento de los procesos de pagos, exponiendo al Banco a reclamos de clientes por no cumplir con los pagos instruidos por ellos.</t>
  </si>
  <si>
    <t>Que ante actualizaciones en navegadores web, no se detecten incompatibilidades en los aplicativos web Banco (servicios críticos), por lo que no se genere la corrección oportuna impactando los canales Web y exponiendo al Banco a reclamos de clientes por no cumplir con los pagos instruidos por ellos.</t>
  </si>
  <si>
    <t>Que un tercero intercepte e incluso modifique la nómina de pagos de pensiones de Capredena y Dipreca, ocasionando reclamos de clientes y pérdida monetaria para el banco.</t>
  </si>
  <si>
    <t>Que debido a la ocurrencia de una contingencia o atraso en los procesos no se procesen los abonos en la fecha estipulada por los clientes, exponiendo al banco a reclamos y daño reputacional.</t>
  </si>
  <si>
    <t>Que debido a fallas de procesos propios, los pagos intradía no sean abonados a las 9 AM, generando reclamos de clientes y daño reputacional por no cumplir con los plazos acordados.</t>
  </si>
  <si>
    <t>Que debido a tener que restituir a los clientes los rechazos (pagos no exitosos) se genere una devolución errónea, arriesgando pérdida monetaria para el banco.</t>
  </si>
  <si>
    <t>Que debido a atraso en los procesos no se envíe el masivo de pagos a CCA, arriesgando el no abonar a tiempo a los clientes generando reclamos y posible riesgo reputacional.</t>
  </si>
  <si>
    <t>Que se procese la contingencia y se instruya el traspaso contable, sin que la cuenta del cliente tenga fondos suficientes para la provisión. Así, se rechazaría la nómina por falta de fondos y no se realizarían los pagos instruidos por el cliente. Se exponen reclamos y daño reputacional.</t>
  </si>
  <si>
    <t>Que se procese la contingencia sin tener los fondos necesarios para realizar el pago, arriesgando al banco a pérdida monetaria por no devolución de fondos desde el cliente.</t>
  </si>
  <si>
    <t>Que se vulnere la integridad de los archivos bilaterales de otros bancos y BancoEstado curse de igual forma sin detectar la vulneración de la planilla. Así, se arriesgan reclamos de clientes y daño reputacional por realizar abonos erróneos.</t>
  </si>
  <si>
    <t>Que debido al alto crecimiento del Banco Falabella sus procesos no den abasto y presenten atrasos en el procesamiento de los pagos intradía instruidos por BancoEstado. De esta manera, se arriesgan reclamos de clientes y daño reputacional por no cumplir con el horario de depósito en cuenta.</t>
  </si>
  <si>
    <t>Que debido a atrasos de otros bancos, los pagos intradía no sean abonados a las 9 AM, generando reclamos de clientes y daño reputacional por no cumplir con los plazos acordados.</t>
  </si>
  <si>
    <t>Que debido a que no se cuente con los respaldos físicos de los contratos del producto, se produzca incumplimiento normativo, impactando al Banco con observaciones y requerimiento de información por parte del regulador.</t>
  </si>
  <si>
    <t>Que un tercero ajeno al Banco se presente con documentación adulterada, y que debido a esto se otorgue un Plan de Cta. Corriente a alguien que no cumpla con las condiciones mínimas para acceder a este, impactando al Banco monetariamente.</t>
  </si>
  <si>
    <t>Que la documentación o el kit de productos sufra de robo, hurto o pérdida antes de llegar a destino (CPN-Sucursal-Cliente), imposibilitando contar con la documentación de respaldo necesaria para cursar el Plan, o bien provocando molestia al Cliente por retrasos en la entrega de su producto.</t>
  </si>
  <si>
    <t>Que un tercero ajeno al Banco se presente con documentación adulterado/no vigente, y que debido a esto se otorgue un producto crediticio o cuentas a alguien que no cumpla con las condiciones mínimas para acceder a este, impactando al Banco monetariamente.</t>
  </si>
  <si>
    <t>Que debido a suplantación de identidad a los clientes en donde un tercero pudiera aperturar una CuentaRUT para hacer un mal uso del producto generando reclamos e impactando al Banco a pérdidas monetarias por fraude e impacto reputacional.</t>
  </si>
  <si>
    <t>Que debido a que se vulnere la autenticación biométrica de un cliente en donde un tercero pudiera aperturar una CuentaRUT para hacer un mal uso del producto generando reclamos e impactando al Banco a pérdidas monetarias por fraude e impacto reputacional.</t>
  </si>
  <si>
    <t>Que debido a que el registro de firmas es digital por medio de huella y que según la norma RAN 20-6 el registro de firmas debe ser manual en un tarjetón, el Banco esté en incumplimiento normativo exponiéndose a multas por el regulador.</t>
  </si>
  <si>
    <t>Debido a la manualidad del proceso, el rol Cursador digita erróneamente el monto de una transferencia interna o LBTR en Finesse. Ocasionando pérdidas monetarias (pagos en exceso) o reclamos de clientes (pagos con déficit).</t>
  </si>
  <si>
    <t xml:space="preserve">Dada la manualidad del proceso el Cursador ingrese datos erróneos en "Habitual", como RUT de cliente ordenante o beneficiario, se equivoque al seleccionar una cuenta o al marcar con una "S" o "N" si corresponde cobro de comisión al cliente por LBTR. Lo que podría ocasionar pérdidas monetarias, reclamos de clientes por cobro erróneo de comisión y daño de imagen.
</t>
  </si>
  <si>
    <t>Con el fin de defraudar, un Ejecutivo de Negocios adultere la carta de instrucción original del cliente (utilizando un programa para editar archivos o de forma manual) reemplazando en el documento los datos de transferencia por otros no correspondientes. Situación que podría generar pérdidas monetarias, reclamos de clientes y daño de imagen a la organización.</t>
  </si>
  <si>
    <t>Que el Cursador imprima erróneamente un vale vista físico debido a que no configura correctamente la impresora (de forma manual) o porque se imprime sobre el papel un documento que corresponde a otra Unidad (la impresora es compartida). Lo que ocasionaría retrasos en el proceso de pago por la anulación del documento y reimpresión.</t>
  </si>
  <si>
    <t>Debido al traslado de las dependencias de SOI a la sucursal del Ejecutivo de Negocios a cargo de la gestión del vale vista, se produzca la pérdida, daño o extravío del documento. Ocasionando retraso y reclamos del cliente.</t>
  </si>
  <si>
    <t>Que el rol Digitador al inyectar nóminas al Motor de Pagos para realizar el envío de fondos vía LBTR, adultere la nómina modificando parámetros de destino pero asegurándose de no alterar los montos totales ni la sumatoria de RUT que vienen en el correo electrónico de origen.</t>
  </si>
  <si>
    <t>Que el rol Digitador al descargar la nómina para inyectarla al MDP considere un correo con una nómina que ya fue procesada anteriormente, causando retrasos en el proceso.</t>
  </si>
  <si>
    <t>Que el rol Digitador al recepcionar instrucciones desde las áreas y al digitarlas directamente al MDP ingrese datos erróneos (como monto, cuenta, Rut, valuta, entre otros), ocasionando reclamos o pérdidas operacionales.</t>
  </si>
  <si>
    <t>Que al procesar una nómina, ésta no cuente con los fondos ya financiados para la transferencia, exponiendo al Banco a pérdidas monetarias al no recuperar los fondos ya enviados.</t>
  </si>
  <si>
    <t>Que debido a incidencias, caídas, fallas, desconexión y/o intermitencias de los sistemas Swift y Motor de Pagos, no se puedan procesar las transferencias, ocasionando retrasos, reclamos o posibles pérdidas operacionales.</t>
  </si>
  <si>
    <t>1
(Ejemplo)</t>
  </si>
  <si>
    <t>DETECTIVO</t>
  </si>
  <si>
    <t xml:space="preserve">MANUAL </t>
  </si>
  <si>
    <t>SEMIAUTOMATICO</t>
  </si>
  <si>
    <t>AUTOMATICO</t>
  </si>
  <si>
    <t>CASO DE EJEMPLO:</t>
  </si>
  <si>
    <t>OPORTUNIDAD</t>
  </si>
  <si>
    <t>ALCANCE</t>
  </si>
  <si>
    <t>TIPO DE CONTROL</t>
  </si>
  <si>
    <t>REGISTRO DE EJECUCIÓN</t>
  </si>
  <si>
    <t>FORMALIZACIÓN</t>
  </si>
  <si>
    <t>SEREGACIÓN</t>
  </si>
  <si>
    <t xml:space="preserve">ALCANCE </t>
  </si>
  <si>
    <t xml:space="preserve">SEREGACIÓN </t>
  </si>
  <si>
    <t xml:space="preserve">FORMALIZACIÓN </t>
  </si>
  <si>
    <t>Antes</t>
  </si>
  <si>
    <t xml:space="preserve">Despues </t>
  </si>
  <si>
    <t>Modificar según umbral</t>
  </si>
  <si>
    <t>MANUAL</t>
  </si>
  <si>
    <t>Requiere indicador (ANTES)</t>
  </si>
  <si>
    <t>Requiere indicador (DESPUES)</t>
  </si>
  <si>
    <t>Requiere plan de acción (ANTES)</t>
  </si>
  <si>
    <t>Requiere plan de acción (DESPUES)</t>
  </si>
  <si>
    <t>&gt;&lt;=</t>
  </si>
  <si>
    <t>Que debido a retrasos en el procesamiento de un pago desde las áreas operativas, la Gerencia de Balance no considere un flujo de último minuto al realizar sus cálculos, propiciando errores que puedan afectar la liquidez del Banco.</t>
  </si>
  <si>
    <t>Debido a que no se efectúa el correcto monitoreo de los saldos en las cuentas, no  se disponga de los recursos necesarios para cubrir las obligaciones de pago, exponiendo a BancoEstado a observaciones o posibles reclamos de clientes.</t>
  </si>
  <si>
    <t>Que al realizar un análisis erróneo la Gerencia de Balance se equivoque al calcular la proyección, causando estimaciones erróneas afectando las acciones de liquidez y el cumplimiento de los plazos normativos.</t>
  </si>
  <si>
    <t>Que debido a las múltiples variables que se deben considerar en el análisis (precios de mercado, costo alternativo del activo y stock disponible) no se elija la cantidad suficiente de activos para constituir Reserva Técnica, afectando la eficiencia en cumplimiento normativo.</t>
  </si>
  <si>
    <t>Que debido a la manualidad del proceso el Analista de Operaciones se equivoque al digitar los datos de Reserva Técnica en Deskmanager, enviando un Informe erróneo, exponiendo BancoEstado a retrasos en el proceso u observaciones del regulador.</t>
  </si>
  <si>
    <t>Que debido a la manualidad implicada en el traspaso de datos obtenidos desde la Contabilidad en formato txt a Excel, el Analista Contable genere un cálculo erróneo de Encaje en MN o MX y/o Reserva Técnica, exponiendo BancoEstado a observaciones o posibles acciones por parte del regulador.</t>
  </si>
  <si>
    <t>Que debido a fallas u obsolescencia tecnológica,  se produzcan caídas del sistema Deskmanager, impidiendo la selección de activos elegibles para cumplimiento de Reserva Técnica, exponiendo a BancoEstado a observaciones o posibles acciones por parte del regulador.</t>
  </si>
  <si>
    <t>Que debido a fallas u obsolescencia tecnológica no se encuentre disponible el sistema Emisión de Documentos, por lo que no se podría ingresar nuevas  operaciones necesarias para captar fondos, causando retrasos en los procesos.</t>
  </si>
  <si>
    <t>Medio alto</t>
  </si>
  <si>
    <t>Medio bajo</t>
  </si>
  <si>
    <t>Que al momento de un cliente acercarse a caja para realizar un giro, el cajero omita la revisión de alertas que arroja el sistema finesse y el cliente presente medidas restrictivas, exponiendo al banco a pérdidas monetarias por dar atención a clientes impedidos de operar por posibles acciones fraudulentas.</t>
  </si>
  <si>
    <t>Que debido a falta de alerta o restricciones para operar en los Sistemas Banco, un cliente declarado interdicto realice giros desde sus cuentas, exponiendo al banco a reclamos de su curador y a pérdidas monetarias por restitución de fondos.</t>
  </si>
  <si>
    <t xml:space="preserve">Que un tercero con intención de realizar fraude, presente un mandato falso (mandato por escritura pública o poder simple) o de una notaria falsa, al Asistente de Atención al Cliente (SAC) para realizar giros en cuentas por una sola vez y el AAC no logre detectar la falsificación, exponiendo al banco a reclamos de clientes y pago de indemnizaciones.
</t>
  </si>
  <si>
    <t xml:space="preserve">Que producto de  obsolescencia tecnológica y  de fallas reiteradas del Sistema Bancomex, el operador de Comex no cuente con la información disponible para realizar el pago de la obligación contraída por BancoEstado, generando pérdidas por los costos asociados intereses o multas por el no pago de la obligación. </t>
  </si>
  <si>
    <t xml:space="preserve">Que debido a errores en el seguimiento de los pagos de créditos contraídos con un banco del exterior realizados por el Operador de Administración de cartera y análisis contable (Subgerencia Operaciones Empresas), no se realice el pago de la obligación, exponiendo al Banco a un incumplimiento de pago y costos adicionales. </t>
  </si>
  <si>
    <t>Que el operador del área de Administración Cartera y Control Contable MX (Subgerencia Operaciones Empresas) no registre el crédito en el Sistema Bancomex, exponiendo al Banco a un incumplimiento de una obligación generando costos adicionales por multas e intereses.</t>
  </si>
  <si>
    <t xml:space="preserve">Que al recepcionar una Carta de Exportación a través de Swift (MT 700) por el Operador de  Procesos Comex (Subgerencia de Operaciones Empresas), éste no  gestione la operación con el Ejecutivo del cliente, generando retrasos en el aviso de ésta, en la preparación del embarque, y con ello reclamos por parte del cliente. </t>
  </si>
  <si>
    <t>Que el Operador de Operaciones Procesos Comercio Exterior extravíe los documentos de embarque que han sido entregados por el cliente, lo que podría ocasionar pérdidas operacionales para el Banco y reclamos por parte de los clientes.</t>
  </si>
  <si>
    <t>Que el Courier extravíe los documentos de embarque que son enviados al Banco Emisor de la Carta de Crédito, pudiendo generar costos adicionales debido a retrasos en las gestiones de recepción de la mercadería</t>
  </si>
  <si>
    <t>Que el Área de Correspondencia extravíe los documentos de embarque que han sido entregados por el cliente, lo que podría ocasionar pérdidas operacionales para el Banco y reclamos por parte de los clientes (envío, recepción y traslado).</t>
  </si>
  <si>
    <t>Que se omita la carga de una nómina, ya sea por error o por ausencia de las personas encargadas del proceso, arriesgando al banco a reclamos de clientes empresas.</t>
  </si>
  <si>
    <t>Que carguen una nómina dos veces duplicando los cargos a mandantes, arriesgando al banco a reclamos de clientes y daño reputacional.</t>
  </si>
  <si>
    <t>Que debido a que las nóminas ingresan por correos externos, se pueda recibir un archivo malicioso, exponiendo al banco a un ciberataque y en consecuencia pérdidas de activos valiosos.</t>
  </si>
  <si>
    <t>Que el correo que el Banco recepciona con nóminas para procesar contenga un link de sitios maliciosos, lo que podría exponer al Banco a un ciberataque y perdida de información.</t>
  </si>
  <si>
    <t>Que debido a un error del cliente la nómina no contenga el concepto de pago que filtra el sistema para PAC CABO, y no se realicen los cargos contra el abono de remuneraciones, arriesgando al banco a reclamos de los clientes y posibles pérdidas monetarias por tener que cubrir intereses de los clientes.</t>
  </si>
  <si>
    <t>Que debido a la manualidad para la carga del archivo Excel de instrucción LBTR el operador se equivoque e ingrese un número de cuenta distinta a la especificada por el cliente. Enviando los fondos a una cuenta incorrecta, arriesgando al banco a pérdidas monetarias y daño reputacional.</t>
  </si>
  <si>
    <t>Que debido a la manipulación del archivo Excel de instrucción LBTR se modifique Rut, nombre y cuenta, con el motivo de defraudar. Desviando los fondos, arriesgando al banco a pérdidas monetarias y daño reputacional.</t>
  </si>
  <si>
    <t>Que debido a que los operadores poseen todas las atribuciones para crear convenio (y definir la cuenta donde se envía el abono), crear mandato e ingresar nómina puedan cometer un fraude interno, realizando cargos ficticios a clientes con cuenta en BECH y desviando los fondos (el dinero se va en el proceso Batch). Así, el banco queda expuesto a reclamos de clientes y daño reputacional.</t>
  </si>
  <si>
    <t>Que debido a no llevar un inventario de los documentos que se encuentran en bóveda, no se detecte la ausencia de alguno de ellos, por lo que no se podrían realizar gestiones de cobro con el aceptante. Arriesgando al banco a pérdidas monetarias por tener que reembolsar el valor del documento.</t>
  </si>
  <si>
    <t>Que debido a que durante el día varios documentos no están en bóveda y son de fácil acceso pueda ocurrir el robo de alguno de ellos, lo que podría provocar el no cumplimiento de los compromisos del servicio, arriesgando al banco a reclamos del cliente e incluso a pérdidas monetarias por tener que pagar la totalidad del documento.</t>
  </si>
  <si>
    <t>Que un tercero sin autorización solicite el rescate de un documento directamente al área de cobranzas y se haga efectivo, dando de baja el pago en sistema, teniendo el banco que restituir los fondos al cedente.</t>
  </si>
  <si>
    <t>Que debido a que el documento se da de baja una vez emitida la colilla de pago, se pueda rebajar un documento sin que el cheque se entregue en caja, arriesgando diferencias contables y pérdidas monetarias.</t>
  </si>
  <si>
    <t>Que ninguna de las personas (2 operadores) relativas al proceso se encuentre disponible para llevar a cabo la gestión del vencimiento de los documentos, no llegando a tiempo a notaría e imposibilitando el protesto, arriesgando al banco a reclamos del cedente y posibles pérdidas monetarias por tener que cubrir el monto del documento.</t>
  </si>
  <si>
    <t>Que el operador designado para analizar las descuadraturas contables no se encuentre disponible, arriesgando que no se haga la gestión a tiempo para regularizar los montos.</t>
  </si>
  <si>
    <t>Que debido a que personal externo llega directamente al área de cobranzas y no pasa previamente a atención del mesón para la validación de firmas y permisos, podría entregarse un documento valorado a un tercero no autorizado, provocando que el Banco debería hacerse cargo del monto del documento valorizado frente al cedente.</t>
  </si>
  <si>
    <t>Debido a que el operador 2 posee todas las atribuciones para crear un convenio, ingresar los documentos asociados y adicionalmente realiza los controles, pueda llevar a cabo un fraude interno, falsificando un documento valorado y desviando los fondos a cuentas de terceros, provocando que el Banco quede expuesto a pérdidas monetarias.</t>
  </si>
  <si>
    <t>Que debido a que no se ejecute la malla diaria en la que se realizan los cálculos de comisiones se atrase la realización del cobro automático, exponiendo al banco a reclamos y pérdidas monetarias.</t>
  </si>
  <si>
    <t>Que exista un error dentro del cálculo automático de comisiones debido a las múltiples consideraciones y distintas maneras de cobro dependiendo del convenio, exponiendo al banco a reclamos en caso de exceder el monto o a pérdidas de ganancias si se cobra menos.</t>
  </si>
  <si>
    <t>Que un cliente sea suplantado a través de phishing o Ingeniería social obteniendo las claves de acceso al sitio, pudiendo acceder a realizar pagos, generando pérdidas por fraudes, debiendo el Banco reintegrar al cliente los montos defraudados.</t>
  </si>
  <si>
    <t>Producto de una contención del mainframe y falla en computador central se produce caída plataformas / sistemas produciendo indisponibilidad para recibir el pago de servicios por App/Web/Botón de Pago, afectando el normal funcionamiento y exponiendo al Banco a reclamos de clientes.</t>
  </si>
  <si>
    <t xml:space="preserve">Que clientes con cuotas de producto en mora, regularice la deuda con ejecutivo BECO (Cobranzas) y luego en caja realice el pago con documento valorado. Cuando documento pasa al área de Canje, el cheque sale protestado, exponiendo al banco a gestiones de reversa de pagos. </t>
  </si>
  <si>
    <t>Que debido a errores de digitación, el cajero al realizar el pago de la tarjeta de crédito Banco Estado abone el dinero a una tarjeta de crédito de otro cliente (número de tarjeta erróneo) sin pagar la tarjeta del cliente en ventanilla, exponiendo al banco a reclamos de clientes, gestiones de recupero de los monto y reproceso.</t>
  </si>
  <si>
    <t>Que debido a indisponibilidades de los servicios o fallas en plataformas como Mambu, se produzcan fallas en las rendiciones de productos de recaudaciones y se generen descuadres contables, reclamos de clientes por fallas en los abonos o pérdidas por no ejecutar los cargos.</t>
  </si>
  <si>
    <t>Que debido a la manualidad presente en el procesamiento de inyectores de contingencia, un Analista pueda duplicar el curse de un archivo por error. Así, se arriesga pérdida monetaria para el banco al no poder recuperar todo el monto afectado.</t>
  </si>
  <si>
    <t>Que debido a cancelaciones en la malla diaria en la que se realizan los cálculos de comisiones, se obtengan registros incompletos  y se omitan cobros en el proceso, exponiendo al banco a reclamos y pérdidas monetarias.</t>
  </si>
  <si>
    <t>Que al cliente no se le realice un acompañamiento integral, propiciando errores futuros. El banco queda expuesto a daño reputacional y pérdida monetaria.</t>
  </si>
  <si>
    <t xml:space="preserve">Que debido a que el ejecutivo ofrece al cliente un convenio personalizado (hecho a la medida), que podría encontrarse fuera de los estándares habituales de la operación del banco, podría generar problemas en la ejecución y procesamiento del convenio, provocando reclamos del cliente y daño de imagen para el Banco.  </t>
  </si>
  <si>
    <t>Que debido a que el ejecutivo ofrece al cliente un convenio personalizado (hecho a la medida), y además, no se realiza la consulta a operaciones acerca de la factibilidad del producto, se arriesga que el convenio no pueda ser parametrizado o que sea defectuosa. Arriesgando al banco a reclamos de clientes, daño reputacional y pérdidas monetarias.</t>
  </si>
  <si>
    <t>Que debido a un análisis insuficiente se realice la venta del convenio, pero el banco no posea la capacidad suficiente para operar. Así, una vez que se comience a utilizar el convenio, los sistemas y/o sucursales no den abasto y colapsen, perjudicando otros procesos críticos de BancoEstado.</t>
  </si>
  <si>
    <t>Que debido al ingreso manual de los datos técnicos del convenio se pueda digitar erróneamente alguno de ellos. Si la equivocación no se detecta el convenio podría pasar a producción en un estado incorrecto, gatillándose defectuosamente o retrasando la operación. Por lo tanto, BancoEstado queda propenso a reclamos de clientes y daño reputacional.</t>
  </si>
  <si>
    <t>Que en la habilitación del servicio de implementación se registre un dato erróneamente, provocando fallas o retrasos en la ejecución del convenio. Así, el banco se ve expuesto a reclamos de clientes.</t>
  </si>
  <si>
    <t>Que se realice la implementación de un convenio con información errónea o incompleta (tarifas, consulta de poderes, carátula o algún otro documento del set), exponiendo al Banco a daños de imagen por errores futuros en la operación.</t>
  </si>
  <si>
    <t>Que debido a no entregar apoyo al cliente en el ingreso de la primera nómina de pagos, éste no se encuentre bien capacitado, propiciando errores en las cargas de futuras nóminas. Así, el banco queda expuesto a reclamos y pérdidas de clientes.</t>
  </si>
  <si>
    <t>Que el analista de backoffice del área de Operaciones Mayorista ingrese apoderados falsos y  gestione la entrega de un dispositivo de seguridad Token u otro (FEA, Tarjeta de coordenadas) no solicitado por las áreas comerciales o por clientes, para ejecutar transacciones por la web, lo que podría provocar un eventual fraude al cliente.</t>
  </si>
  <si>
    <t>Que ante un requerimiento de información de clientes, no se cuente con la evidencia de la habilitación, generando retrasos en las respuestas o no poder disponibilizar los respaldo de las gestiones realizadas.</t>
  </si>
  <si>
    <t>Que por una descoordinación entre el proveedor Vigatec  y Operaciones Mayoristas no cuenten con un stock suficiente de dispositivos que permitan cubrir la demanda de clientes, pudiendo provocar reclamos por retrasos en la habilitación en el sitio privado.</t>
  </si>
  <si>
    <t>Que un cliente sea suplantado y solicite la creación o eliminación de un apoderado a un ejecutivo de la Banca, pudiendo ingresar a la cuenta del cilente y realizar operaciones no autorizadas.</t>
  </si>
  <si>
    <t>Que se produzcan retrasos en la habilitación de los token de clientes rendidos por los delivery al Área de Implementación y habilitación de clientes, generando reclamos debido a la imposibilidad de operar en el sitio.</t>
  </si>
  <si>
    <t>Que al ingresar apoderados a través de una Escritura Pública con vigencia limitada en el Sistema SYP, al término de la vigencia los apoderados son revocados en el Sistema SyP,  pero no se actualicen los accesos a la Web.</t>
  </si>
  <si>
    <t>Que el ejecutivo comercial no envíe a Fiscalía la escritura pública de un nuevo cliente o una modificación de apoderados, y se reporte este cambio a la Mesa de Habilitación de clientes para la creación de Apoderados, lo que posibilita que se entreguen accesos a personas que no se encuentran habilitada sin contar con las facultades requeridas.</t>
  </si>
  <si>
    <t xml:space="preserve">Debido a que el proceso de creación, eliminación o modificación de apoderados es manual, posibilita que se presenten inconsistencia entre los apoderados ingresados en Serviex y Sistema Contrato, generando reclamos por parte de los clientes por errores en los accesos que se encuentran facultados para operar. </t>
  </si>
  <si>
    <t>Inherente</t>
  </si>
  <si>
    <t>Despues</t>
  </si>
  <si>
    <t>residual</t>
  </si>
  <si>
    <t>Inherente (ANTES)</t>
  </si>
  <si>
    <t>Inherente (DESPUES)</t>
  </si>
  <si>
    <t>Residual(ANTES)</t>
  </si>
  <si>
    <t>Residual (DESPUES)</t>
  </si>
  <si>
    <t xml:space="preserve">SEGREGACIÓN </t>
  </si>
  <si>
    <t>NO FORMALIZADO</t>
  </si>
  <si>
    <t>FORMALIZADO</t>
  </si>
  <si>
    <t>TOTAL DE TRANSACCIONES/OPERACIONES</t>
  </si>
  <si>
    <t>PARCIAL (MUESTRAL)</t>
  </si>
  <si>
    <t>Umbrales</t>
  </si>
  <si>
    <t>Hasta un 0,01% del ingreso operacional de la institución.
(Ref.  MM$ 287)</t>
  </si>
  <si>
    <t>Hasta un 0,03% del ingreso operacional de la institución.
(Ref.  MM$ 862)</t>
  </si>
  <si>
    <t>Hasta un 0,06% del ingreso operacional de la institución.
(Ref.   MM$ 1.724)</t>
  </si>
  <si>
    <t>Hasta un 0,09% del ingreso operacional de la institución.
(Ref.   MM$ 2.586)</t>
  </si>
  <si>
    <t>Ponderación</t>
  </si>
  <si>
    <t>Descripción</t>
  </si>
  <si>
    <t>OPORTUNIDAD 35%</t>
  </si>
  <si>
    <t>Permite identificar anticipadamente la materialización de un evento y su consecuencia.</t>
  </si>
  <si>
    <t>Control que permite descubrir eventos una vez que han ocurrido.</t>
  </si>
  <si>
    <t>No existe control para el riesgo descrito</t>
  </si>
  <si>
    <t>ALCANCE 20%</t>
  </si>
  <si>
    <t>El control se ejecuta sobre el total de la operación(es) cursadas.</t>
  </si>
  <si>
    <t>PARCIAL (muestral)</t>
  </si>
  <si>
    <t>El control se ejecuta sobre una muestra del total de las operaciones.</t>
  </si>
  <si>
    <t>TIPO DE CONTROL 20%</t>
  </si>
  <si>
    <t>Proceso de control operativo realizado manualmente.</t>
  </si>
  <si>
    <t>Proceso de control que combina intervención humana con automatización.</t>
  </si>
  <si>
    <t>Proceso de control que opera de manera totalmente automatizada.</t>
  </si>
  <si>
    <t>SEREGACIÓN DE FUNCIONES 15%</t>
  </si>
  <si>
    <t xml:space="preserve">SI </t>
  </si>
  <si>
    <t>Separa las responsabilidades de las diversas actividades en la ejecución del control.</t>
  </si>
  <si>
    <t>La misma función que ejecuta el proceso, ejecuta el control.</t>
  </si>
  <si>
    <t>FORMALIZACIÓN 10%</t>
  </si>
  <si>
    <t>El control no se encuentra documentado de manera formal o bien está documentado en un documento informal.</t>
  </si>
  <si>
    <t>El control está documentado de manera formal.</t>
  </si>
  <si>
    <t>4 Medio Alto</t>
  </si>
  <si>
    <t>3 Ocasional</t>
  </si>
  <si>
    <t>Debido a la ejecución manual de procesos para la creación y revisión de archivos con tasas nuevas, se cometan errores en la emisión de dichos archivos. Esto puede generar retrasos o la no actualización oportuna de tasas, tarifas y/o parámetros, generando  incumplimiento de compromisos internos y fechas establecidas por normativas regulatorias.ulatorias</t>
  </si>
  <si>
    <t>Debido la posibilidad de que, durante el proceso de carga manual de tasas en la plataforma de inversiones, se ingresen valores incorrectos debido a errores de digitación o uso de formatos no válidos, derivando a publicación de tasas erróneas al clientes o áreas internas.</t>
  </si>
  <si>
    <t>Debido a que  una ejecutiva de sucursal solicite una tasa preferencial para inversiones a plazo fijo que no se encuentre dentro del margen autorizado por la política vigente. Esta solicitud podría ser aprobada sin el visado correspondiente por parte de las jefaturas, derivando en condiciones comerciales fuera de los parámetros definidos, generando impactos financieros, desviaciones en la rentabilidad.</t>
  </si>
  <si>
    <t xml:space="preserve">1. Mesa de dinero , ejecuta revisión de carga Manual de tasa en plataforma de inversiones , actualmente dicha revisión es manual  por parte de la jefatura directa.
</t>
  </si>
  <si>
    <t>1. Mesa de dinero , ejecución de generar tasa preferencial es cargao del operador de la mesa de dinero y con revisión manual  por parte de la jefatura directa.</t>
  </si>
  <si>
    <t>sin controles</t>
  </si>
  <si>
    <t>Debido a la falta de restricciones en los perfiles de roles de acceso en PA para modificar las tasas podrían quedar expuestos a accesos no autorizados o a personas que no participan en el proceso de carga</t>
  </si>
  <si>
    <t>Debido a la falta de personalización y validación de las listas de distribución utilizadas para el envío masivo de correos de aviso de carga de tasas, existe la posibilidad de que personas que ya no pertenecen a las áreas involucradas continúen recibiendo dicha información. Esto expone parámetros y tarifas sensibles a destinatarios no autorizados, generándose  divulgación indebida de información</t>
  </si>
  <si>
    <t>1 Bajo</t>
  </si>
  <si>
    <t>Debido a la carga y actualización manual de las tasas en el proceso hipotecario, pueden generarse errores u omisiones en las actividades, lo que podría ocasionar fallas en la parametrización de dichas tasas y afectar la correcta ejecución del proceso.</t>
  </si>
  <si>
    <t xml:space="preserve">1. Area de Credito revisar los archivos </t>
  </si>
  <si>
    <t>Debido a la ejecución manual de procesos para la creación y revisión de archivos con tasas nuevas, se cometan errores en la emisión de dichos archivos. Esto puede generar retrasos o la no actualización oportuna de tasas, tarifas y/o parámetros, generando  incumplimiento de compromisos internos e información del entes regulatorios.</t>
  </si>
  <si>
    <t xml:space="preserve">R-00357   </t>
  </si>
  <si>
    <t>Debido la posibilidad de que, durante el proceso de carga manual de tasas en la plataforma de inversiones, se ingresen valores incorrectos debido a errores de digitación o uso de formatos no válidos, derivando a publicación de tasas erróneas al clientes o áreas internas</t>
  </si>
  <si>
    <t>1. Mesa de dinero , ejecución de generar tasa preferencial es carga del operador de la mesa de dinero y con revisión manual  por parte de la jefatura directa.</t>
  </si>
  <si>
    <t xml:space="preserve">R-00358  </t>
  </si>
  <si>
    <t>Area xxx Gerera  control por oposición para validar las tasas ingresadas y que el proceso está documentado en una ficha que detalla cómo se realizan las modificaciones en la PA y PU.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</si>
</sst>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 #,##0.00_ ;_ * \-#,##0.00_ ;_ * &quot;-&quot;??_ ;_ @_ "/>
  </numFmts>
  <fonts count="42" x14ac:knownFonts="1">
    <font>
      <sz val="11"/>
      <color theme="1"/>
      <name val="Calibri"/>
      <family val="2"/>
      <scheme val="minor"/>
    </font>
    <font>
      <sz val="10"/>
      <name val="Arial"/>
      <family val="2"/>
    </font>
    <font>
      <sz val="9"/>
      <color indexed="18"/>
      <name val="Arial"/>
      <family val="2"/>
    </font>
    <font>
      <sz val="9"/>
      <name val="Arial"/>
      <family val="2"/>
    </font>
    <font>
      <b/>
      <sz val="11"/>
      <color theme="0"/>
      <name val="Calibri"/>
      <family val="2"/>
      <scheme val="minor"/>
    </font>
    <font>
      <b/>
      <sz val="11"/>
      <name val="Arial"/>
      <family val="2"/>
    </font>
    <font>
      <u/>
      <sz val="11"/>
      <color theme="10"/>
      <name val="Calibri"/>
      <family val="2"/>
      <scheme val="minor"/>
    </font>
    <font>
      <sz val="9"/>
      <color theme="1"/>
      <name val="Arial"/>
      <family val="2"/>
    </font>
    <font>
      <u/>
      <sz val="11"/>
      <color theme="10"/>
      <name val="Arial"/>
      <family val="2"/>
    </font>
    <font>
      <b/>
      <sz val="9"/>
      <color rgb="FF000000"/>
      <name val="Arial"/>
      <family val="2"/>
    </font>
    <font>
      <sz val="10"/>
      <color theme="1"/>
      <name val="Arial"/>
      <family val="2"/>
    </font>
    <font>
      <b/>
      <sz val="9"/>
      <color rgb="FF595959"/>
      <name val="Arial"/>
      <family val="2"/>
    </font>
    <font>
      <sz val="9"/>
      <color rgb="FF595959"/>
      <name val="Arial"/>
      <family val="2"/>
    </font>
    <font>
      <sz val="9"/>
      <color rgb="FF000000"/>
      <name val="Arial"/>
      <family val="2"/>
    </font>
    <font>
      <b/>
      <sz val="11"/>
      <color rgb="FFFFFFFF"/>
      <name val="Arial Nova Light"/>
      <family val="2"/>
    </font>
    <font>
      <sz val="10"/>
      <color theme="1"/>
      <name val="Arial Nova Light"/>
      <family val="2"/>
    </font>
    <font>
      <sz val="10"/>
      <name val="Arial Nova Light"/>
      <family val="2"/>
    </font>
    <font>
      <b/>
      <sz val="10"/>
      <color theme="0"/>
      <name val="Arial Nova Light"/>
      <family val="2"/>
    </font>
    <font>
      <b/>
      <sz val="10"/>
      <color indexed="9"/>
      <name val="Arial Nova Light"/>
      <family val="2"/>
    </font>
    <font>
      <sz val="11"/>
      <color theme="1"/>
      <name val="Calibri"/>
      <family val="2"/>
      <scheme val="minor"/>
    </font>
    <font>
      <b/>
      <sz val="10"/>
      <name val="Arial Nova Light"/>
      <family val="2"/>
    </font>
    <font>
      <sz val="11"/>
      <color theme="1"/>
      <name val="Arial Nova Light"/>
      <family val="2"/>
    </font>
    <font>
      <b/>
      <sz val="11"/>
      <name val="Arial Nova Light"/>
      <family val="2"/>
    </font>
    <font>
      <sz val="11"/>
      <color rgb="FF000099"/>
      <name val="Arial Nova Light"/>
      <family val="2"/>
    </font>
    <font>
      <b/>
      <sz val="11"/>
      <color indexed="9"/>
      <name val="Arial Nova Light"/>
      <family val="2"/>
    </font>
    <font>
      <b/>
      <i/>
      <sz val="11"/>
      <name val="Arial Nova Light"/>
      <family val="2"/>
    </font>
    <font>
      <sz val="11"/>
      <name val="Arial Nova Light"/>
      <family val="2"/>
    </font>
    <font>
      <u/>
      <sz val="11"/>
      <color theme="10"/>
      <name val="Arial Nova Light"/>
      <family val="2"/>
    </font>
    <font>
      <sz val="11"/>
      <color indexed="18"/>
      <name val="Arial Nova Light"/>
      <family val="2"/>
    </font>
    <font>
      <b/>
      <i/>
      <sz val="11"/>
      <color theme="1"/>
      <name val="Arial Nova Light"/>
      <family val="2"/>
    </font>
    <font>
      <b/>
      <sz val="11"/>
      <color indexed="18"/>
      <name val="Arial Nova Light"/>
      <family val="2"/>
    </font>
    <font>
      <b/>
      <sz val="11"/>
      <color theme="1"/>
      <name val="Arial Nova Light"/>
      <family val="2"/>
    </font>
    <font>
      <sz val="12"/>
      <color rgb="FF000000"/>
      <name val="Arial"/>
      <family val="2"/>
    </font>
    <font>
      <sz val="11"/>
      <color theme="1"/>
      <name val="Arial"/>
      <family val="2"/>
    </font>
    <font>
      <b/>
      <sz val="12"/>
      <color rgb="FFFFFFFF"/>
      <name val="Arial"/>
      <family val="2"/>
    </font>
    <font>
      <sz val="12"/>
      <name val="Arial"/>
      <family val="2"/>
    </font>
    <font>
      <b/>
      <sz val="12"/>
      <color rgb="FF000000"/>
      <name val="Arial"/>
      <family val="2"/>
    </font>
    <font>
      <b/>
      <sz val="11"/>
      <color theme="1"/>
      <name val="Calibri"/>
      <family val="2"/>
      <scheme val="minor"/>
    </font>
    <font>
      <sz val="11"/>
      <color theme="1"/>
      <name val="Calibri"/>
      <family val="2"/>
    </font>
    <font>
      <b/>
      <sz val="11"/>
      <color rgb="FF000000"/>
      <name val="Calibri"/>
      <family val="2"/>
    </font>
    <font>
      <b/>
      <sz val="8"/>
      <color rgb="FF000000"/>
      <name val="Calibri"/>
      <family val="2"/>
    </font>
    <font>
      <sz val="8"/>
      <color rgb="FF000000"/>
      <name val="Calibri"/>
      <family val="2"/>
    </font>
  </fonts>
  <fills count="31">
    <fill>
      <patternFill patternType="none"/>
    </fill>
    <fill>
      <patternFill patternType="gray125"/>
    </fill>
    <fill>
      <patternFill patternType="solid">
        <fgColor indexed="56"/>
        <bgColor indexed="64"/>
      </patternFill>
    </fill>
    <fill>
      <patternFill patternType="solid">
        <fgColor rgb="FFCCFFCC"/>
        <bgColor indexed="64"/>
      </patternFill>
    </fill>
    <fill>
      <patternFill patternType="solid">
        <fgColor indexed="42"/>
        <bgColor indexed="64"/>
      </patternFill>
    </fill>
    <fill>
      <patternFill patternType="solid">
        <fgColor rgb="FF00B050"/>
        <bgColor indexed="64"/>
      </patternFill>
    </fill>
    <fill>
      <patternFill patternType="solid">
        <fgColor theme="0"/>
        <bgColor indexed="64"/>
      </patternFill>
    </fill>
    <fill>
      <patternFill patternType="solid">
        <fgColor indexed="22"/>
        <bgColor indexed="64"/>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indexed="55"/>
        <bgColor indexed="64"/>
      </patternFill>
    </fill>
    <fill>
      <patternFill patternType="solid">
        <fgColor rgb="FFC0C0C0"/>
        <bgColor indexed="64"/>
      </patternFill>
    </fill>
    <fill>
      <patternFill patternType="solid">
        <fgColor rgb="FFA6A6A6"/>
        <bgColor indexed="64"/>
      </patternFill>
    </fill>
    <fill>
      <patternFill patternType="solid">
        <fgColor rgb="FFA5A5A5"/>
        <bgColor indexed="64"/>
      </patternFill>
    </fill>
    <fill>
      <patternFill patternType="solid">
        <fgColor theme="4" tint="-0.249977111117893"/>
        <bgColor indexed="64"/>
      </patternFill>
    </fill>
    <fill>
      <patternFill patternType="solid">
        <fgColor rgb="FF002060"/>
        <bgColor indexed="64"/>
      </patternFill>
    </fill>
    <fill>
      <patternFill patternType="solid">
        <fgColor rgb="FFA6A6A6"/>
        <bgColor rgb="FF000000"/>
      </patternFill>
    </fill>
    <fill>
      <patternFill patternType="solid">
        <fgColor rgb="FFFFFFFF"/>
        <bgColor indexed="64"/>
      </patternFill>
    </fill>
    <fill>
      <patternFill patternType="solid">
        <fgColor rgb="FF203764"/>
        <bgColor indexed="64"/>
      </patternFill>
    </fill>
    <fill>
      <patternFill patternType="solid">
        <fgColor theme="4" tint="0.39997558519241921"/>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rgb="FF92D050"/>
        <bgColor rgb="FF000000"/>
      </patternFill>
    </fill>
    <fill>
      <patternFill patternType="solid">
        <fgColor theme="0"/>
        <bgColor rgb="FF000000"/>
      </patternFill>
    </fill>
    <fill>
      <patternFill patternType="solid">
        <fgColor rgb="FF00B0F0"/>
        <bgColor indexed="64"/>
      </patternFill>
    </fill>
    <fill>
      <patternFill patternType="solid">
        <fgColor rgb="FFFFFFFF"/>
        <bgColor rgb="FF000000"/>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thin">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style="medium">
        <color rgb="FF000000"/>
      </right>
      <top/>
      <bottom style="medium">
        <color rgb="FF000000"/>
      </bottom>
      <diagonal/>
    </border>
    <border>
      <left/>
      <right style="medium">
        <color rgb="FF000000"/>
      </right>
      <top/>
      <bottom/>
      <diagonal/>
    </border>
    <border>
      <left style="medium">
        <color rgb="FF000000"/>
      </left>
      <right style="medium">
        <color rgb="FF000000"/>
      </right>
      <top style="medium">
        <color rgb="FF000000"/>
      </top>
      <bottom/>
      <diagonal/>
    </border>
    <border>
      <left style="thin">
        <color rgb="FF000000"/>
      </left>
      <right style="thin">
        <color rgb="FF000000"/>
      </right>
      <top style="thin">
        <color rgb="FF000000"/>
      </top>
      <bottom style="thin">
        <color rgb="FF000000"/>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thin">
        <color rgb="FF000000"/>
      </right>
      <top style="thin">
        <color indexed="64"/>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style="medium">
        <color rgb="FFA6A6A6"/>
      </left>
      <right style="medium">
        <color rgb="FFA6A6A6"/>
      </right>
      <top style="medium">
        <color rgb="FFA6A6A6"/>
      </top>
      <bottom style="medium">
        <color rgb="FFA6A6A6"/>
      </bottom>
      <diagonal/>
    </border>
    <border>
      <left style="medium">
        <color rgb="FFA6A6A6"/>
      </left>
      <right/>
      <top style="medium">
        <color rgb="FFA6A6A6"/>
      </top>
      <bottom style="medium">
        <color rgb="FFA6A6A6"/>
      </bottom>
      <diagonal/>
    </border>
    <border>
      <left/>
      <right/>
      <top style="medium">
        <color rgb="FFA6A6A6"/>
      </top>
      <bottom style="medium">
        <color rgb="FFA6A6A6"/>
      </bottom>
      <diagonal/>
    </border>
    <border>
      <left/>
      <right style="medium">
        <color rgb="FFA6A6A6"/>
      </right>
      <top style="medium">
        <color rgb="FFA6A6A6"/>
      </top>
      <bottom style="medium">
        <color rgb="FFA6A6A6"/>
      </bottom>
      <diagonal/>
    </border>
  </borders>
  <cellStyleXfs count="10">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ill="0" applyBorder="0" applyAlignment="0" applyProtection="0"/>
    <xf numFmtId="43" fontId="19" fillId="0" borderId="0" applyFont="0" applyFill="0" applyBorder="0" applyAlignment="0" applyProtection="0"/>
    <xf numFmtId="9" fontId="19" fillId="0" borderId="0" applyFont="0" applyFill="0" applyBorder="0" applyAlignment="0" applyProtection="0"/>
  </cellStyleXfs>
  <cellXfs count="240">
    <xf numFmtId="0" fontId="0" fillId="0" borderId="0" xfId="0"/>
    <xf numFmtId="0" fontId="1" fillId="0" borderId="0" xfId="0" applyFont="1" applyAlignment="1">
      <alignment vertical="center"/>
    </xf>
    <xf numFmtId="0" fontId="1" fillId="0" borderId="0" xfId="0" applyFont="1"/>
    <xf numFmtId="0" fontId="2" fillId="0" borderId="0" xfId="4" applyFont="1" applyAlignment="1">
      <alignment vertical="center" wrapText="1"/>
    </xf>
    <xf numFmtId="0" fontId="2" fillId="0" borderId="0" xfId="4" applyFont="1" applyAlignment="1" applyProtection="1">
      <alignment vertical="center" wrapText="1"/>
      <protection locked="0"/>
    </xf>
    <xf numFmtId="0" fontId="4" fillId="19" borderId="0" xfId="0" applyFont="1" applyFill="1"/>
    <xf numFmtId="0" fontId="7" fillId="0" borderId="0" xfId="0" applyFont="1"/>
    <xf numFmtId="0" fontId="3" fillId="0" borderId="0" xfId="0" applyFont="1" applyAlignment="1">
      <alignment wrapText="1"/>
    </xf>
    <xf numFmtId="0" fontId="8" fillId="0" borderId="0" xfId="7" applyFont="1" applyAlignment="1">
      <alignment wrapText="1"/>
    </xf>
    <xf numFmtId="0" fontId="9" fillId="15" borderId="14" xfId="0" applyFont="1" applyFill="1" applyBorder="1" applyAlignment="1">
      <alignment horizontal="center"/>
    </xf>
    <xf numFmtId="0" fontId="9" fillId="15" borderId="15" xfId="0" applyFont="1" applyFill="1" applyBorder="1" applyAlignment="1">
      <alignment horizontal="center"/>
    </xf>
    <xf numFmtId="0" fontId="10" fillId="0" borderId="0" xfId="0" applyFont="1"/>
    <xf numFmtId="0" fontId="9" fillId="15" borderId="9" xfId="0" applyFont="1" applyFill="1" applyBorder="1" applyAlignment="1">
      <alignment horizontal="center" vertical="center" wrapText="1"/>
    </xf>
    <xf numFmtId="0" fontId="3" fillId="0" borderId="0" xfId="0" applyFont="1" applyAlignment="1">
      <alignment vertical="center" wrapText="1"/>
    </xf>
    <xf numFmtId="0" fontId="9" fillId="16"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9" fillId="17" borderId="1" xfId="0" applyFont="1" applyFill="1" applyBorder="1" applyAlignment="1">
      <alignment horizontal="left" vertical="center" wrapText="1"/>
    </xf>
    <xf numFmtId="0" fontId="9" fillId="5" borderId="1" xfId="0" applyFont="1" applyFill="1" applyBorder="1" applyAlignment="1">
      <alignment horizontal="center" vertical="center" wrapText="1"/>
    </xf>
    <xf numFmtId="0" fontId="12" fillId="0" borderId="1" xfId="0" applyFont="1" applyBorder="1" applyAlignment="1">
      <alignment horizontal="left" vertical="top" wrapText="1"/>
    </xf>
    <xf numFmtId="0" fontId="9" fillId="8" borderId="1" xfId="0" applyFont="1" applyFill="1" applyBorder="1" applyAlignment="1">
      <alignment vertical="center" wrapText="1"/>
    </xf>
    <xf numFmtId="0" fontId="9" fillId="0" borderId="0" xfId="0" applyFont="1" applyAlignment="1">
      <alignment vertical="center" wrapText="1"/>
    </xf>
    <xf numFmtId="0" fontId="12" fillId="0" borderId="0" xfId="0" applyFont="1" applyAlignment="1">
      <alignment horizontal="left" vertical="top" wrapText="1"/>
    </xf>
    <xf numFmtId="0" fontId="13" fillId="0" borderId="0" xfId="0" applyFont="1" applyAlignment="1">
      <alignment vertical="center" wrapText="1"/>
    </xf>
    <xf numFmtId="0" fontId="14" fillId="20" borderId="22" xfId="0" applyFont="1" applyFill="1" applyBorder="1" applyAlignment="1">
      <alignment horizontal="center" wrapText="1"/>
    </xf>
    <xf numFmtId="0" fontId="17" fillId="2" borderId="1" xfId="1" applyFont="1" applyFill="1" applyBorder="1" applyAlignment="1">
      <alignment horizontal="center" vertical="center" wrapText="1"/>
    </xf>
    <xf numFmtId="0" fontId="18" fillId="2" borderId="10" xfId="5" applyFont="1" applyFill="1" applyBorder="1" applyAlignment="1">
      <alignment horizontal="center" vertical="center" wrapText="1"/>
    </xf>
    <xf numFmtId="0" fontId="21" fillId="0" borderId="0" xfId="0" applyFont="1"/>
    <xf numFmtId="0" fontId="22" fillId="0" borderId="0" xfId="2" applyFont="1" applyAlignment="1">
      <alignment horizontal="left" vertical="center" wrapText="1"/>
    </xf>
    <xf numFmtId="0" fontId="23" fillId="0" borderId="0" xfId="2" applyFont="1" applyAlignment="1">
      <alignment vertical="center" wrapText="1"/>
    </xf>
    <xf numFmtId="0" fontId="22" fillId="0" borderId="13" xfId="2" applyFont="1" applyBorder="1" applyAlignment="1">
      <alignment horizontal="center" vertical="center" wrapText="1"/>
    </xf>
    <xf numFmtId="0" fontId="24" fillId="2" borderId="1" xfId="1" applyFont="1" applyFill="1" applyBorder="1" applyAlignment="1">
      <alignment horizontal="center" vertical="center" wrapText="1"/>
    </xf>
    <xf numFmtId="0" fontId="24" fillId="18" borderId="1" xfId="1" applyFont="1" applyFill="1" applyBorder="1" applyAlignment="1">
      <alignment horizontal="center" vertical="center" wrapText="1"/>
    </xf>
    <xf numFmtId="0" fontId="24" fillId="2" borderId="2" xfId="1" applyFont="1" applyFill="1" applyBorder="1" applyAlignment="1">
      <alignment horizontal="center" vertical="center" wrapText="1"/>
    </xf>
    <xf numFmtId="0" fontId="24" fillId="2" borderId="0" xfId="1" applyFont="1" applyFill="1" applyAlignment="1">
      <alignment horizontal="center" vertical="center" wrapText="1"/>
    </xf>
    <xf numFmtId="0" fontId="25" fillId="6" borderId="3" xfId="0" applyFont="1" applyFill="1" applyBorder="1" applyAlignment="1">
      <alignment horizontal="center" vertical="center" wrapText="1" readingOrder="1"/>
    </xf>
    <xf numFmtId="0" fontId="25" fillId="6" borderId="4" xfId="0" applyFont="1" applyFill="1" applyBorder="1" applyAlignment="1">
      <alignment horizontal="center" vertical="center" wrapText="1" readingOrder="1"/>
    </xf>
    <xf numFmtId="0" fontId="25" fillId="6" borderId="5" xfId="0" applyFont="1" applyFill="1" applyBorder="1" applyAlignment="1">
      <alignment horizontal="center" vertical="center" wrapText="1" readingOrder="1"/>
    </xf>
    <xf numFmtId="0" fontId="22" fillId="0" borderId="1" xfId="1" applyFont="1" applyBorder="1" applyAlignment="1" applyProtection="1">
      <alignment horizontal="center" vertical="center" wrapText="1"/>
      <protection locked="0"/>
    </xf>
    <xf numFmtId="0" fontId="26" fillId="3" borderId="1" xfId="2" applyFont="1" applyFill="1" applyBorder="1" applyAlignment="1">
      <alignment horizontal="center" vertical="center" wrapText="1"/>
    </xf>
    <xf numFmtId="0" fontId="26" fillId="0" borderId="1" xfId="2" applyFont="1" applyBorder="1" applyAlignment="1">
      <alignment horizontal="left" vertical="top" wrapText="1"/>
    </xf>
    <xf numFmtId="0" fontId="26" fillId="0" borderId="1" xfId="4" applyFont="1" applyBorder="1" applyAlignment="1">
      <alignment horizontal="justify" vertical="center" wrapText="1"/>
    </xf>
    <xf numFmtId="0" fontId="26" fillId="4" borderId="1" xfId="2" applyFont="1" applyFill="1" applyBorder="1" applyAlignment="1" applyProtection="1">
      <alignment horizontal="center" vertical="center" wrapText="1"/>
      <protection locked="0"/>
    </xf>
    <xf numFmtId="0" fontId="26" fillId="0" borderId="1" xfId="2" applyFont="1" applyBorder="1" applyAlignment="1" applyProtection="1">
      <alignment horizontal="center" vertical="center" wrapText="1"/>
      <protection locked="0"/>
    </xf>
    <xf numFmtId="0" fontId="26" fillId="0" borderId="0" xfId="2" applyFont="1" applyAlignment="1" applyProtection="1">
      <alignment horizontal="center" vertical="center" wrapText="1"/>
      <protection locked="0"/>
    </xf>
    <xf numFmtId="0" fontId="28" fillId="0" borderId="0" xfId="2" applyFont="1" applyAlignment="1" applyProtection="1">
      <alignment horizontal="center" vertical="center" wrapText="1"/>
      <protection locked="0"/>
    </xf>
    <xf numFmtId="0" fontId="28" fillId="7" borderId="1" xfId="2" applyFont="1" applyFill="1" applyBorder="1" applyAlignment="1" applyProtection="1">
      <alignment horizontal="center" vertical="center" wrapText="1"/>
      <protection locked="0"/>
    </xf>
    <xf numFmtId="1" fontId="28" fillId="7" borderId="1" xfId="2" applyNumberFormat="1" applyFont="1" applyFill="1" applyBorder="1" applyAlignment="1" applyProtection="1">
      <alignment horizontal="center" vertical="center" wrapText="1"/>
      <protection locked="0"/>
    </xf>
    <xf numFmtId="0" fontId="21" fillId="0" borderId="0" xfId="0" applyFont="1" applyAlignment="1">
      <alignment horizontal="center" vertical="center"/>
    </xf>
    <xf numFmtId="14" fontId="21" fillId="0" borderId="7" xfId="0" applyNumberFormat="1" applyFont="1" applyBorder="1"/>
    <xf numFmtId="0" fontId="26" fillId="0" borderId="0" xfId="0" applyFont="1" applyAlignment="1">
      <alignment horizontal="center" vertical="center"/>
    </xf>
    <xf numFmtId="0" fontId="28" fillId="0" borderId="0" xfId="2" applyFont="1" applyAlignment="1">
      <alignment vertical="center"/>
    </xf>
    <xf numFmtId="0" fontId="24" fillId="14" borderId="6" xfId="0" applyFont="1" applyFill="1" applyBorder="1" applyAlignment="1">
      <alignment horizontal="center" vertical="center"/>
    </xf>
    <xf numFmtId="0" fontId="26" fillId="0" borderId="6" xfId="0" applyFont="1" applyBorder="1" applyAlignment="1">
      <alignment horizontal="center" vertical="center"/>
    </xf>
    <xf numFmtId="0" fontId="26" fillId="0" borderId="6" xfId="0" applyFont="1" applyBorder="1" applyAlignment="1">
      <alignment horizontal="left" vertical="center"/>
    </xf>
    <xf numFmtId="0" fontId="28" fillId="0" borderId="0" xfId="2" applyFont="1" applyAlignment="1">
      <alignment vertical="center" wrapText="1"/>
    </xf>
    <xf numFmtId="0" fontId="28" fillId="5" borderId="1" xfId="2" applyFont="1" applyFill="1" applyBorder="1" applyAlignment="1">
      <alignment horizontal="center" vertical="center" wrapText="1"/>
    </xf>
    <xf numFmtId="0" fontId="28" fillId="8" borderId="1" xfId="2" applyFont="1" applyFill="1" applyBorder="1" applyAlignment="1">
      <alignment horizontal="center" vertical="center" wrapText="1"/>
    </xf>
    <xf numFmtId="0" fontId="28" fillId="9" borderId="1" xfId="2" applyFont="1" applyFill="1" applyBorder="1" applyAlignment="1">
      <alignment horizontal="center" vertical="center" wrapText="1"/>
    </xf>
    <xf numFmtId="0" fontId="28" fillId="10" borderId="1" xfId="2" applyFont="1" applyFill="1" applyBorder="1" applyAlignment="1">
      <alignment horizontal="center" vertical="center" wrapText="1"/>
    </xf>
    <xf numFmtId="0" fontId="28" fillId="11" borderId="1" xfId="2" applyFont="1" applyFill="1" applyBorder="1" applyAlignment="1">
      <alignment horizontal="center" vertical="center" wrapText="1"/>
    </xf>
    <xf numFmtId="0" fontId="30" fillId="12" borderId="1" xfId="2" applyFont="1" applyFill="1" applyBorder="1" applyAlignment="1">
      <alignment horizontal="center" vertical="center" wrapText="1"/>
    </xf>
    <xf numFmtId="0" fontId="28" fillId="12" borderId="1" xfId="2" applyFont="1" applyFill="1" applyBorder="1" applyAlignment="1" applyProtection="1">
      <alignment horizontal="center" vertical="center" wrapText="1"/>
      <protection locked="0"/>
    </xf>
    <xf numFmtId="0" fontId="28" fillId="12" borderId="1" xfId="2" applyFont="1" applyFill="1" applyBorder="1" applyAlignment="1">
      <alignment horizontal="center" vertical="center" wrapText="1"/>
    </xf>
    <xf numFmtId="0" fontId="28" fillId="0" borderId="1" xfId="2" applyFont="1" applyBorder="1" applyAlignment="1" applyProtection="1">
      <alignment horizontal="center" vertical="center" wrapText="1"/>
      <protection locked="0"/>
    </xf>
    <xf numFmtId="0" fontId="28" fillId="5" borderId="1" xfId="2" applyFont="1" applyFill="1" applyBorder="1" applyAlignment="1" applyProtection="1">
      <alignment horizontal="center" vertical="center" wrapText="1"/>
      <protection locked="0"/>
    </xf>
    <xf numFmtId="0" fontId="28" fillId="8" borderId="1" xfId="2" applyFont="1" applyFill="1" applyBorder="1" applyAlignment="1" applyProtection="1">
      <alignment horizontal="center" vertical="center" wrapText="1"/>
      <protection locked="0"/>
    </xf>
    <xf numFmtId="0" fontId="28" fillId="9" borderId="1" xfId="2" applyFont="1" applyFill="1" applyBorder="1" applyAlignment="1" applyProtection="1">
      <alignment horizontal="center" vertical="center" wrapText="1"/>
      <protection locked="0"/>
    </xf>
    <xf numFmtId="0" fontId="28" fillId="10" borderId="1" xfId="2" applyFont="1" applyFill="1" applyBorder="1" applyAlignment="1" applyProtection="1">
      <alignment horizontal="center" vertical="center" wrapText="1"/>
      <protection locked="0"/>
    </xf>
    <xf numFmtId="0" fontId="28" fillId="11" borderId="1" xfId="2" applyFont="1" applyFill="1" applyBorder="1" applyAlignment="1" applyProtection="1">
      <alignment horizontal="center" vertical="center" wrapText="1"/>
      <protection locked="0"/>
    </xf>
    <xf numFmtId="0" fontId="28" fillId="13" borderId="1" xfId="2" applyFont="1" applyFill="1" applyBorder="1" applyAlignment="1" applyProtection="1">
      <alignment horizontal="center" vertical="center" wrapText="1"/>
      <protection locked="0"/>
    </xf>
    <xf numFmtId="0" fontId="28" fillId="13" borderId="1" xfId="2" applyFont="1" applyFill="1" applyBorder="1" applyAlignment="1">
      <alignment horizontal="center" vertical="center" wrapText="1"/>
    </xf>
    <xf numFmtId="0" fontId="27" fillId="0" borderId="0" xfId="7" applyFont="1"/>
    <xf numFmtId="0" fontId="31" fillId="0" borderId="1" xfId="2" applyFont="1" applyBorder="1" applyAlignment="1">
      <alignment horizontal="center" vertical="center" wrapText="1"/>
    </xf>
    <xf numFmtId="0" fontId="26" fillId="0" borderId="1" xfId="2" applyFont="1" applyBorder="1" applyAlignment="1">
      <alignment horizontal="left" vertical="center" wrapText="1"/>
    </xf>
    <xf numFmtId="0" fontId="31" fillId="0" borderId="0" xfId="0" applyFont="1" applyAlignment="1">
      <alignment vertical="center"/>
    </xf>
    <xf numFmtId="0" fontId="21" fillId="0" borderId="0" xfId="2" applyFont="1" applyAlignment="1">
      <alignment vertical="center"/>
    </xf>
    <xf numFmtId="0" fontId="21" fillId="0" borderId="0" xfId="0" applyFont="1" applyAlignment="1">
      <alignment vertical="center"/>
    </xf>
    <xf numFmtId="0" fontId="16" fillId="0" borderId="1" xfId="2" applyFont="1" applyBorder="1" applyAlignment="1">
      <alignment horizontal="left" vertical="center" wrapText="1"/>
    </xf>
    <xf numFmtId="0" fontId="16" fillId="3" borderId="1" xfId="2" applyFont="1" applyFill="1" applyBorder="1" applyAlignment="1">
      <alignment horizontal="center" vertical="center" wrapText="1"/>
    </xf>
    <xf numFmtId="17" fontId="16" fillId="0" borderId="1" xfId="2" applyNumberFormat="1" applyFont="1" applyBorder="1" applyAlignment="1">
      <alignment horizontal="left" vertical="center" wrapText="1"/>
    </xf>
    <xf numFmtId="0" fontId="26" fillId="0" borderId="7" xfId="0" applyFont="1" applyBorder="1" applyAlignment="1">
      <alignment horizontal="left" vertical="center"/>
    </xf>
    <xf numFmtId="0" fontId="26" fillId="0" borderId="8" xfId="0" applyFont="1" applyBorder="1" applyAlignment="1">
      <alignment horizontal="left" vertical="center"/>
    </xf>
    <xf numFmtId="0" fontId="31" fillId="14" borderId="6" xfId="0" applyFont="1" applyFill="1" applyBorder="1" applyAlignment="1">
      <alignment horizontal="center" vertical="center"/>
    </xf>
    <xf numFmtId="0" fontId="31" fillId="14" borderId="1" xfId="0" applyFont="1" applyFill="1" applyBorder="1" applyAlignment="1">
      <alignment horizontal="center" vertical="center"/>
    </xf>
    <xf numFmtId="0" fontId="16" fillId="0" borderId="7" xfId="0" applyFont="1" applyBorder="1" applyAlignment="1">
      <alignment horizontal="left" vertical="center"/>
    </xf>
    <xf numFmtId="0" fontId="16" fillId="0" borderId="6" xfId="0" applyFont="1" applyBorder="1" applyAlignment="1">
      <alignment horizontal="left" vertical="center"/>
    </xf>
    <xf numFmtId="0" fontId="21" fillId="0" borderId="7" xfId="0" applyFont="1" applyBorder="1" applyAlignment="1">
      <alignment horizontal="left" vertical="center"/>
    </xf>
    <xf numFmtId="0" fontId="21" fillId="0" borderId="6" xfId="0" applyFont="1" applyBorder="1" applyAlignment="1">
      <alignment horizontal="left" vertical="center"/>
    </xf>
    <xf numFmtId="0" fontId="18" fillId="2" borderId="21" xfId="5" applyFont="1" applyFill="1" applyBorder="1" applyAlignment="1">
      <alignment horizontal="center" vertical="center" wrapText="1"/>
    </xf>
    <xf numFmtId="0" fontId="15" fillId="0" borderId="21" xfId="2" applyFont="1" applyBorder="1" applyAlignment="1">
      <alignment horizontal="left" vertical="center" wrapText="1"/>
    </xf>
    <xf numFmtId="0" fontId="17" fillId="2" borderId="8" xfId="1" applyFont="1" applyFill="1" applyBorder="1" applyAlignment="1">
      <alignment horizontal="center" vertical="center" wrapText="1"/>
    </xf>
    <xf numFmtId="0" fontId="20" fillId="0" borderId="8" xfId="2" applyFont="1" applyBorder="1" applyAlignment="1">
      <alignment horizontal="center" vertical="center" wrapText="1"/>
    </xf>
    <xf numFmtId="0" fontId="21" fillId="0" borderId="1" xfId="0" applyFont="1" applyBorder="1" applyAlignment="1">
      <alignment horizontal="left"/>
    </xf>
    <xf numFmtId="14" fontId="21" fillId="0" borderId="0" xfId="0" applyNumberFormat="1" applyFont="1"/>
    <xf numFmtId="0" fontId="21" fillId="0" borderId="0" xfId="0" applyFont="1" applyAlignment="1">
      <alignment horizontal="left"/>
    </xf>
    <xf numFmtId="0" fontId="21" fillId="0" borderId="6" xfId="0" applyFont="1" applyBorder="1" applyAlignment="1">
      <alignment horizontal="left"/>
    </xf>
    <xf numFmtId="0" fontId="21" fillId="0" borderId="0" xfId="0" applyFont="1" applyAlignment="1">
      <alignment horizontal="center"/>
    </xf>
    <xf numFmtId="0" fontId="26" fillId="0" borderId="1" xfId="2" applyFont="1" applyBorder="1" applyAlignment="1">
      <alignment horizontal="center" vertical="center" wrapText="1"/>
    </xf>
    <xf numFmtId="14" fontId="26" fillId="0" borderId="1" xfId="2" applyNumberFormat="1" applyFont="1" applyBorder="1" applyAlignment="1">
      <alignment horizontal="center" vertical="center" wrapText="1"/>
    </xf>
    <xf numFmtId="0" fontId="32" fillId="21" borderId="0" xfId="0" applyFont="1" applyFill="1"/>
    <xf numFmtId="0" fontId="33" fillId="21" borderId="0" xfId="0" applyFont="1" applyFill="1"/>
    <xf numFmtId="0" fontId="35" fillId="21" borderId="0" xfId="0" applyFont="1" applyFill="1"/>
    <xf numFmtId="0" fontId="34" fillId="22" borderId="7" xfId="0" applyFont="1" applyFill="1" applyBorder="1" applyAlignment="1">
      <alignment wrapText="1"/>
    </xf>
    <xf numFmtId="0" fontId="34" fillId="22" borderId="22" xfId="0" applyFont="1" applyFill="1" applyBorder="1" applyAlignment="1">
      <alignment wrapText="1"/>
    </xf>
    <xf numFmtId="0" fontId="34" fillId="22" borderId="1" xfId="0" applyFont="1" applyFill="1" applyBorder="1" applyAlignment="1">
      <alignment wrapText="1"/>
    </xf>
    <xf numFmtId="0" fontId="34" fillId="22" borderId="8" xfId="0" applyFont="1" applyFill="1" applyBorder="1" applyAlignment="1">
      <alignment horizontal="center" vertical="center" wrapText="1"/>
    </xf>
    <xf numFmtId="0" fontId="32" fillId="21" borderId="2" xfId="0" applyFont="1" applyFill="1" applyBorder="1" applyAlignment="1">
      <alignment wrapText="1"/>
    </xf>
    <xf numFmtId="0" fontId="36" fillId="21" borderId="28" xfId="0" applyFont="1" applyFill="1" applyBorder="1" applyAlignment="1">
      <alignment horizontal="center" vertical="center" wrapText="1"/>
    </xf>
    <xf numFmtId="0" fontId="32" fillId="21" borderId="2" xfId="0" applyFont="1" applyFill="1" applyBorder="1" applyAlignment="1">
      <alignment vertical="center" wrapText="1"/>
    </xf>
    <xf numFmtId="0" fontId="26" fillId="0" borderId="1" xfId="2" applyFont="1" applyBorder="1" applyAlignment="1">
      <alignment vertical="top" wrapText="1"/>
    </xf>
    <xf numFmtId="0" fontId="24" fillId="23" borderId="1" xfId="1" applyFont="1" applyFill="1" applyBorder="1" applyAlignment="1">
      <alignment horizontal="center" vertical="center" wrapText="1"/>
    </xf>
    <xf numFmtId="0" fontId="0" fillId="0" borderId="1" xfId="0" applyBorder="1"/>
    <xf numFmtId="0" fontId="21" fillId="24" borderId="0" xfId="0" applyFont="1" applyFill="1"/>
    <xf numFmtId="10" fontId="21" fillId="0" borderId="0" xfId="0" applyNumberFormat="1" applyFont="1" applyAlignment="1">
      <alignment horizontal="center" vertical="center"/>
    </xf>
    <xf numFmtId="10" fontId="26" fillId="0" borderId="1" xfId="2" applyNumberFormat="1" applyFont="1" applyBorder="1" applyAlignment="1">
      <alignment horizontal="center" vertical="center" wrapText="1"/>
    </xf>
    <xf numFmtId="10" fontId="26" fillId="0" borderId="2" xfId="2" applyNumberFormat="1" applyFont="1" applyBorder="1" applyAlignment="1">
      <alignment horizontal="center" vertical="center" wrapText="1"/>
    </xf>
    <xf numFmtId="0" fontId="0" fillId="0" borderId="30" xfId="0" applyBorder="1"/>
    <xf numFmtId="0" fontId="0" fillId="0" borderId="0" xfId="0" applyAlignment="1">
      <alignment horizontal="center" vertical="center"/>
    </xf>
    <xf numFmtId="10" fontId="21" fillId="0" borderId="0" xfId="0" applyNumberFormat="1" applyFont="1"/>
    <xf numFmtId="0" fontId="22" fillId="6" borderId="0" xfId="2" applyFont="1" applyFill="1" applyAlignment="1">
      <alignment vertical="center" wrapText="1"/>
    </xf>
    <xf numFmtId="0" fontId="37" fillId="0" borderId="0" xfId="0" applyFont="1" applyAlignment="1">
      <alignment horizontal="center"/>
    </xf>
    <xf numFmtId="0" fontId="0" fillId="0" borderId="1" xfId="0" applyBorder="1" applyAlignment="1">
      <alignment horizontal="left"/>
    </xf>
    <xf numFmtId="0" fontId="37" fillId="8" borderId="1" xfId="0" applyFont="1" applyFill="1" applyBorder="1"/>
    <xf numFmtId="9" fontId="37" fillId="8" borderId="1" xfId="0" applyNumberFormat="1" applyFont="1" applyFill="1" applyBorder="1"/>
    <xf numFmtId="0" fontId="0" fillId="0" borderId="0" xfId="0" applyAlignment="1">
      <alignment horizontal="left"/>
    </xf>
    <xf numFmtId="0" fontId="0" fillId="6" borderId="1" xfId="0" applyFill="1" applyBorder="1"/>
    <xf numFmtId="0" fontId="0" fillId="6" borderId="0" xfId="0" applyFill="1"/>
    <xf numFmtId="0" fontId="0" fillId="6" borderId="1" xfId="9" applyNumberFormat="1" applyFont="1" applyFill="1" applyBorder="1"/>
    <xf numFmtId="0" fontId="0" fillId="9" borderId="0" xfId="0" applyFill="1" applyAlignment="1">
      <alignment wrapText="1"/>
    </xf>
    <xf numFmtId="0" fontId="37" fillId="8" borderId="1" xfId="0" applyFont="1" applyFill="1" applyBorder="1" applyAlignment="1">
      <alignment horizontal="center"/>
    </xf>
    <xf numFmtId="0" fontId="22" fillId="26" borderId="1" xfId="1" applyFont="1" applyFill="1" applyBorder="1" applyAlignment="1" applyProtection="1">
      <alignment horizontal="center" vertical="center" wrapText="1"/>
      <protection locked="0"/>
    </xf>
    <xf numFmtId="0" fontId="0" fillId="0" borderId="0" xfId="0" applyAlignment="1">
      <alignment wrapText="1"/>
    </xf>
    <xf numFmtId="0" fontId="38" fillId="0" borderId="0" xfId="0" applyFont="1"/>
    <xf numFmtId="0" fontId="38" fillId="0" borderId="1" xfId="0" applyFont="1" applyBorder="1"/>
    <xf numFmtId="0" fontId="38" fillId="0" borderId="0" xfId="0" applyFont="1" applyAlignment="1">
      <alignment wrapText="1"/>
    </xf>
    <xf numFmtId="0" fontId="39" fillId="27" borderId="1" xfId="0" applyFont="1" applyFill="1" applyBorder="1" applyAlignment="1">
      <alignment horizontal="center"/>
    </xf>
    <xf numFmtId="0" fontId="37" fillId="0" borderId="0" xfId="0" applyFont="1"/>
    <xf numFmtId="0" fontId="0" fillId="9" borderId="0" xfId="0" applyFill="1" applyAlignment="1">
      <alignment horizontal="left"/>
    </xf>
    <xf numFmtId="9" fontId="0" fillId="9" borderId="0" xfId="0" applyNumberFormat="1" applyFill="1"/>
    <xf numFmtId="9" fontId="0" fillId="0" borderId="0" xfId="0" applyNumberFormat="1"/>
    <xf numFmtId="9" fontId="37" fillId="8" borderId="1" xfId="0" applyNumberFormat="1" applyFont="1" applyFill="1" applyBorder="1" applyAlignment="1">
      <alignment horizontal="right"/>
    </xf>
    <xf numFmtId="9" fontId="39" fillId="27" borderId="1" xfId="0" applyNumberFormat="1" applyFont="1" applyFill="1" applyBorder="1" applyAlignment="1">
      <alignment horizontal="right"/>
    </xf>
    <xf numFmtId="0" fontId="38" fillId="28" borderId="1" xfId="0" applyFont="1" applyFill="1" applyBorder="1"/>
    <xf numFmtId="0" fontId="0" fillId="26" borderId="0" xfId="0" applyFill="1" applyAlignment="1">
      <alignment wrapText="1"/>
    </xf>
    <xf numFmtId="0" fontId="0" fillId="29" borderId="0" xfId="0" applyFill="1" applyAlignment="1">
      <alignment wrapText="1"/>
    </xf>
    <xf numFmtId="9" fontId="0" fillId="0" borderId="1" xfId="0" applyNumberFormat="1" applyBorder="1" applyAlignment="1">
      <alignment horizontal="center" vertical="center" wrapText="1"/>
    </xf>
    <xf numFmtId="0" fontId="37" fillId="0" borderId="1" xfId="0" applyFont="1" applyBorder="1" applyAlignment="1">
      <alignment horizontal="center" wrapText="1"/>
    </xf>
    <xf numFmtId="9" fontId="0" fillId="0" borderId="1" xfId="0" applyNumberFormat="1" applyBorder="1" applyAlignment="1">
      <alignment horizontal="center" wrapText="1"/>
    </xf>
    <xf numFmtId="0" fontId="3" fillId="30" borderId="2" xfId="0" applyFont="1" applyFill="1" applyBorder="1" applyAlignment="1">
      <alignment horizontal="left" vertical="center" wrapText="1"/>
    </xf>
    <xf numFmtId="2" fontId="0" fillId="6" borderId="1" xfId="9" applyNumberFormat="1" applyFont="1" applyFill="1" applyBorder="1"/>
    <xf numFmtId="0" fontId="40" fillId="16" borderId="39" xfId="0" applyFont="1" applyFill="1" applyBorder="1" applyAlignment="1">
      <alignment horizontal="center" wrapText="1" readingOrder="1"/>
    </xf>
    <xf numFmtId="0" fontId="40" fillId="16" borderId="38" xfId="0" applyFont="1" applyFill="1" applyBorder="1" applyAlignment="1">
      <alignment horizontal="center" wrapText="1" readingOrder="1"/>
    </xf>
    <xf numFmtId="0" fontId="41" fillId="0" borderId="38" xfId="0" applyFont="1" applyBorder="1" applyAlignment="1">
      <alignment horizontal="left" vertical="center" wrapText="1" readingOrder="1"/>
    </xf>
    <xf numFmtId="9" fontId="41" fillId="0" borderId="38" xfId="0" applyNumberFormat="1" applyFont="1" applyBorder="1" applyAlignment="1">
      <alignment horizontal="center" vertical="center" wrapText="1" readingOrder="1"/>
    </xf>
    <xf numFmtId="0" fontId="41" fillId="0" borderId="38" xfId="0" applyFont="1" applyBorder="1" applyAlignment="1">
      <alignment horizontal="left" wrapText="1" readingOrder="1"/>
    </xf>
    <xf numFmtId="9" fontId="41" fillId="0" borderId="38" xfId="0" applyNumberFormat="1" applyFont="1" applyBorder="1" applyAlignment="1">
      <alignment horizontal="center" wrapText="1" readingOrder="1"/>
    </xf>
    <xf numFmtId="0" fontId="32" fillId="21" borderId="7" xfId="0" applyFont="1" applyFill="1" applyBorder="1" applyAlignment="1">
      <alignment horizontal="center" vertical="center" wrapText="1"/>
    </xf>
    <xf numFmtId="0" fontId="32" fillId="21" borderId="8" xfId="0" applyFont="1" applyFill="1" applyBorder="1" applyAlignment="1">
      <alignment horizontal="center" vertical="center" wrapText="1"/>
    </xf>
    <xf numFmtId="0" fontId="34" fillId="22" borderId="25" xfId="0" applyFont="1" applyFill="1" applyBorder="1" applyAlignment="1">
      <alignment wrapText="1"/>
    </xf>
    <xf numFmtId="0" fontId="34" fillId="22" borderId="26" xfId="0" applyFont="1" applyFill="1" applyBorder="1" applyAlignment="1">
      <alignment wrapText="1"/>
    </xf>
    <xf numFmtId="0" fontId="35" fillId="21" borderId="7" xfId="0" applyFont="1" applyFill="1" applyBorder="1" applyAlignment="1">
      <alignment wrapText="1"/>
    </xf>
    <xf numFmtId="0" fontId="35" fillId="21" borderId="6" xfId="0" applyFont="1" applyFill="1" applyBorder="1" applyAlignment="1">
      <alignment wrapText="1"/>
    </xf>
    <xf numFmtId="0" fontId="35" fillId="21" borderId="27" xfId="0" applyFont="1" applyFill="1" applyBorder="1" applyAlignment="1">
      <alignment wrapText="1"/>
    </xf>
    <xf numFmtId="0" fontId="34" fillId="22" borderId="29" xfId="0" applyFont="1" applyFill="1" applyBorder="1" applyAlignment="1">
      <alignment horizontal="center" wrapText="1"/>
    </xf>
    <xf numFmtId="0" fontId="34" fillId="22" borderId="0" xfId="0" applyFont="1" applyFill="1" applyAlignment="1">
      <alignment horizontal="center" wrapText="1"/>
    </xf>
    <xf numFmtId="0" fontId="32" fillId="21" borderId="22" xfId="0" applyFont="1" applyFill="1" applyBorder="1" applyAlignment="1">
      <alignment horizontal="center" wrapText="1"/>
    </xf>
    <xf numFmtId="0" fontId="32" fillId="21" borderId="28" xfId="0" applyFont="1" applyFill="1" applyBorder="1" applyAlignment="1">
      <alignment horizontal="center" wrapText="1"/>
    </xf>
    <xf numFmtId="0" fontId="29" fillId="0" borderId="0" xfId="0" applyFont="1" applyAlignment="1">
      <alignment horizontal="left" vertical="top" wrapText="1"/>
    </xf>
    <xf numFmtId="0" fontId="21" fillId="0" borderId="1" xfId="0" applyFont="1" applyBorder="1" applyAlignment="1">
      <alignment horizontal="center" vertical="center"/>
    </xf>
    <xf numFmtId="0" fontId="26" fillId="0" borderId="7" xfId="0" applyFont="1" applyBorder="1" applyAlignment="1">
      <alignment horizontal="left" vertical="center"/>
    </xf>
    <xf numFmtId="0" fontId="26" fillId="0" borderId="6" xfId="0" applyFont="1" applyBorder="1" applyAlignment="1">
      <alignment horizontal="left" vertical="center"/>
    </xf>
    <xf numFmtId="0" fontId="26" fillId="0" borderId="8" xfId="0" applyFont="1" applyBorder="1" applyAlignment="1">
      <alignment horizontal="left" vertical="center"/>
    </xf>
    <xf numFmtId="0" fontId="16" fillId="0" borderId="7" xfId="0" applyFont="1" applyBorder="1" applyAlignment="1">
      <alignment horizontal="left" vertical="center"/>
    </xf>
    <xf numFmtId="0" fontId="16" fillId="0" borderId="6" xfId="0" applyFont="1" applyBorder="1" applyAlignment="1">
      <alignment horizontal="left" vertical="center"/>
    </xf>
    <xf numFmtId="0" fontId="16" fillId="0" borderId="8" xfId="0" applyFont="1" applyBorder="1" applyAlignment="1">
      <alignment horizontal="left" vertical="center"/>
    </xf>
    <xf numFmtId="0" fontId="16" fillId="0" borderId="7" xfId="0" applyFont="1" applyBorder="1" applyAlignment="1">
      <alignment horizontal="center" vertical="center"/>
    </xf>
    <xf numFmtId="0" fontId="16" fillId="0" borderId="6" xfId="0" applyFont="1" applyBorder="1" applyAlignment="1">
      <alignment horizontal="center" vertical="center"/>
    </xf>
    <xf numFmtId="0" fontId="16" fillId="0" borderId="8" xfId="0" applyFont="1" applyBorder="1" applyAlignment="1">
      <alignment horizontal="center" vertical="center"/>
    </xf>
    <xf numFmtId="0" fontId="16" fillId="0" borderId="1" xfId="0" applyFont="1" applyBorder="1" applyAlignment="1">
      <alignment horizontal="center" vertical="center"/>
    </xf>
    <xf numFmtId="0" fontId="26" fillId="0" borderId="0" xfId="0" applyFont="1" applyAlignment="1">
      <alignment horizontal="center" vertical="center"/>
    </xf>
    <xf numFmtId="0" fontId="23" fillId="0" borderId="0" xfId="2" applyFont="1" applyAlignment="1">
      <alignment horizontal="center" vertical="center" wrapText="1"/>
    </xf>
    <xf numFmtId="0" fontId="23" fillId="0" borderId="13" xfId="2" applyFont="1" applyBorder="1" applyAlignment="1">
      <alignment horizontal="center" vertical="center" wrapText="1"/>
    </xf>
    <xf numFmtId="0" fontId="22" fillId="0" borderId="13" xfId="2" applyFont="1" applyBorder="1" applyAlignment="1">
      <alignment horizontal="left" vertical="center" wrapText="1"/>
    </xf>
    <xf numFmtId="0" fontId="31" fillId="14" borderId="21" xfId="0" applyFont="1" applyFill="1" applyBorder="1" applyAlignment="1">
      <alignment horizontal="center" vertical="center"/>
    </xf>
    <xf numFmtId="0" fontId="24" fillId="0" borderId="0" xfId="0" applyFont="1" applyAlignment="1">
      <alignment horizontal="center" vertical="center"/>
    </xf>
    <xf numFmtId="0" fontId="23" fillId="0" borderId="11" xfId="2" applyFont="1" applyBorder="1" applyAlignment="1" applyProtection="1">
      <alignment horizontal="center" vertical="center" wrapText="1"/>
      <protection locked="0"/>
    </xf>
    <xf numFmtId="0" fontId="23" fillId="0" borderId="12" xfId="2" applyFont="1" applyBorder="1" applyAlignment="1" applyProtection="1">
      <alignment horizontal="center" vertical="center" wrapText="1"/>
      <protection locked="0"/>
    </xf>
    <xf numFmtId="0" fontId="14" fillId="20" borderId="34" xfId="0" applyFont="1" applyFill="1" applyBorder="1" applyAlignment="1">
      <alignment horizontal="left"/>
    </xf>
    <xf numFmtId="0" fontId="14" fillId="20" borderId="35" xfId="0" applyFont="1" applyFill="1" applyBorder="1" applyAlignment="1">
      <alignment horizontal="left"/>
    </xf>
    <xf numFmtId="0" fontId="14" fillId="20" borderId="36" xfId="0" applyFont="1" applyFill="1" applyBorder="1" applyAlignment="1">
      <alignment horizontal="left"/>
    </xf>
    <xf numFmtId="0" fontId="21" fillId="0" borderId="31" xfId="0" applyFont="1" applyBorder="1" applyAlignment="1">
      <alignment horizontal="left"/>
    </xf>
    <xf numFmtId="0" fontId="21" fillId="0" borderId="32" xfId="0" applyFont="1" applyBorder="1" applyAlignment="1">
      <alignment horizontal="left"/>
    </xf>
    <xf numFmtId="0" fontId="21" fillId="0" borderId="33" xfId="0" applyFont="1" applyBorder="1" applyAlignment="1">
      <alignment horizontal="left"/>
    </xf>
    <xf numFmtId="0" fontId="22" fillId="0" borderId="0" xfId="2" applyFont="1" applyAlignment="1">
      <alignment horizontal="left" vertical="center" wrapText="1"/>
    </xf>
    <xf numFmtId="0" fontId="24" fillId="18" borderId="7" xfId="1" applyFont="1" applyFill="1" applyBorder="1" applyAlignment="1">
      <alignment horizontal="center" vertical="center" wrapText="1"/>
    </xf>
    <xf numFmtId="0" fontId="24" fillId="18" borderId="6" xfId="1" applyFont="1" applyFill="1" applyBorder="1" applyAlignment="1">
      <alignment horizontal="center" vertical="center" wrapText="1"/>
    </xf>
    <xf numFmtId="0" fontId="24" fillId="18" borderId="8" xfId="1" applyFont="1" applyFill="1" applyBorder="1" applyAlignment="1">
      <alignment horizontal="center" vertical="center" wrapText="1"/>
    </xf>
    <xf numFmtId="0" fontId="24" fillId="14" borderId="1" xfId="0" applyFont="1" applyFill="1" applyBorder="1" applyAlignment="1">
      <alignment horizontal="center" vertical="center"/>
    </xf>
    <xf numFmtId="0" fontId="14" fillId="20" borderId="37" xfId="0" applyFont="1" applyFill="1" applyBorder="1" applyAlignment="1">
      <alignment horizontal="center" vertical="center"/>
    </xf>
    <xf numFmtId="0" fontId="14" fillId="20" borderId="23" xfId="0" applyFont="1" applyFill="1" applyBorder="1" applyAlignment="1">
      <alignment horizontal="center" vertical="center"/>
    </xf>
    <xf numFmtId="0" fontId="14" fillId="20" borderId="24" xfId="0" applyFont="1" applyFill="1" applyBorder="1" applyAlignment="1">
      <alignment horizontal="center" vertical="center"/>
    </xf>
    <xf numFmtId="0" fontId="24" fillId="25" borderId="7" xfId="1" applyFont="1" applyFill="1" applyBorder="1" applyAlignment="1">
      <alignment horizontal="center" vertical="center" wrapText="1"/>
    </xf>
    <xf numFmtId="0" fontId="24" fillId="25" borderId="6" xfId="1" applyFont="1" applyFill="1" applyBorder="1" applyAlignment="1">
      <alignment horizontal="center" vertical="center" wrapText="1"/>
    </xf>
    <xf numFmtId="0" fontId="0" fillId="0" borderId="0" xfId="0" applyAlignment="1">
      <alignment horizontal="center"/>
    </xf>
    <xf numFmtId="0" fontId="37" fillId="0" borderId="0" xfId="0" applyFont="1" applyAlignment="1">
      <alignment horizontal="center"/>
    </xf>
    <xf numFmtId="0" fontId="37" fillId="0" borderId="1" xfId="0" applyFont="1" applyBorder="1" applyAlignment="1">
      <alignment horizontal="center"/>
    </xf>
    <xf numFmtId="0" fontId="0" fillId="8" borderId="0" xfId="0" applyFill="1" applyAlignment="1">
      <alignment horizontal="center"/>
    </xf>
    <xf numFmtId="0" fontId="0" fillId="9" borderId="0" xfId="0" applyFill="1" applyAlignment="1">
      <alignment horizontal="center"/>
    </xf>
    <xf numFmtId="0" fontId="37" fillId="6" borderId="0" xfId="0" applyFont="1" applyFill="1" applyAlignment="1">
      <alignment horizontal="center"/>
    </xf>
    <xf numFmtId="0" fontId="5" fillId="0" borderId="0" xfId="2" applyFont="1" applyAlignment="1">
      <alignment horizontal="left" vertical="center" wrapText="1"/>
    </xf>
    <xf numFmtId="0" fontId="5" fillId="0" borderId="13" xfId="2" applyFont="1" applyBorder="1" applyAlignment="1">
      <alignment horizontal="left" vertical="center" wrapText="1"/>
    </xf>
    <xf numFmtId="0" fontId="41" fillId="10" borderId="39" xfId="0" applyFont="1" applyFill="1" applyBorder="1" applyAlignment="1">
      <alignment horizontal="center" wrapText="1" readingOrder="1"/>
    </xf>
    <xf numFmtId="0" fontId="41" fillId="10" borderId="40" xfId="0" applyFont="1" applyFill="1" applyBorder="1" applyAlignment="1">
      <alignment horizontal="center" wrapText="1" readingOrder="1"/>
    </xf>
    <xf numFmtId="0" fontId="41" fillId="10" borderId="41" xfId="0" applyFont="1" applyFill="1" applyBorder="1" applyAlignment="1">
      <alignment horizontal="center" wrapText="1" readingOrder="1"/>
    </xf>
    <xf numFmtId="0" fontId="40" fillId="16" borderId="39" xfId="0" applyFont="1" applyFill="1" applyBorder="1" applyAlignment="1">
      <alignment horizontal="center" wrapText="1" readingOrder="1"/>
    </xf>
    <xf numFmtId="0" fontId="40" fillId="16" borderId="40" xfId="0" applyFont="1" applyFill="1" applyBorder="1" applyAlignment="1">
      <alignment horizontal="center" wrapText="1" readingOrder="1"/>
    </xf>
    <xf numFmtId="0" fontId="40" fillId="16" borderId="41" xfId="0" applyFont="1" applyFill="1" applyBorder="1" applyAlignment="1">
      <alignment horizontal="center" wrapText="1" readingOrder="1"/>
    </xf>
    <xf numFmtId="0" fontId="13" fillId="0" borderId="1" xfId="0" applyFont="1" applyBorder="1" applyAlignment="1">
      <alignment horizontal="center" vertical="center" wrapText="1"/>
    </xf>
    <xf numFmtId="0" fontId="9" fillId="11" borderId="17" xfId="0" applyFont="1" applyFill="1" applyBorder="1"/>
    <xf numFmtId="0" fontId="9" fillId="11" borderId="16" xfId="0" applyFont="1" applyFill="1" applyBorder="1"/>
    <xf numFmtId="0" fontId="11" fillId="0" borderId="19" xfId="0" applyFont="1" applyBorder="1" applyAlignment="1">
      <alignment horizontal="center" vertical="center"/>
    </xf>
    <xf numFmtId="0" fontId="11" fillId="0" borderId="18" xfId="0" applyFont="1" applyBorder="1" applyAlignment="1">
      <alignment horizontal="center" vertical="center"/>
    </xf>
    <xf numFmtId="0" fontId="11" fillId="0" borderId="20" xfId="0" applyFont="1" applyBorder="1" applyAlignment="1">
      <alignment horizontal="center" vertical="center" wrapText="1"/>
    </xf>
    <xf numFmtId="0" fontId="11" fillId="0" borderId="16" xfId="0" applyFont="1" applyBorder="1" applyAlignment="1">
      <alignment horizontal="center" vertical="center" wrapText="1"/>
    </xf>
    <xf numFmtId="0" fontId="9" fillId="5" borderId="1" xfId="0" applyFont="1" applyFill="1" applyBorder="1" applyAlignment="1">
      <alignment horizontal="center" vertical="center" wrapText="1"/>
    </xf>
    <xf numFmtId="0" fontId="9" fillId="11" borderId="1" xfId="0" applyFont="1" applyFill="1" applyBorder="1" applyAlignment="1">
      <alignment horizontal="center" vertical="center" wrapText="1"/>
    </xf>
    <xf numFmtId="0" fontId="12" fillId="0" borderId="1" xfId="0" applyFont="1" applyBorder="1" applyAlignment="1">
      <alignment horizontal="left" vertical="top" wrapText="1"/>
    </xf>
    <xf numFmtId="0" fontId="9" fillId="8" borderId="1" xfId="0" applyFont="1" applyFill="1" applyBorder="1" applyAlignment="1">
      <alignment horizontal="center" vertical="center" wrapText="1"/>
    </xf>
    <xf numFmtId="0" fontId="9" fillId="9" borderId="1" xfId="0" applyFont="1" applyFill="1" applyBorder="1" applyAlignment="1">
      <alignment horizontal="center" vertical="center" wrapText="1"/>
    </xf>
    <xf numFmtId="0" fontId="9" fillId="10" borderId="17" xfId="0" applyFont="1" applyFill="1" applyBorder="1"/>
    <xf numFmtId="0" fontId="9" fillId="10" borderId="16" xfId="0" applyFont="1" applyFill="1" applyBorder="1"/>
    <xf numFmtId="0" fontId="9" fillId="9" borderId="17" xfId="0" applyFont="1" applyFill="1" applyBorder="1"/>
    <xf numFmtId="0" fontId="9" fillId="9" borderId="16" xfId="0" applyFont="1" applyFill="1" applyBorder="1"/>
    <xf numFmtId="0" fontId="9" fillId="10" borderId="1" xfId="0" applyFont="1" applyFill="1" applyBorder="1" applyAlignment="1">
      <alignment horizontal="center" vertical="center" wrapText="1"/>
    </xf>
    <xf numFmtId="0" fontId="12" fillId="0" borderId="10" xfId="0" applyFont="1" applyBorder="1" applyAlignment="1">
      <alignment horizontal="left" vertical="top" wrapText="1"/>
    </xf>
    <xf numFmtId="0" fontId="12" fillId="0" borderId="2" xfId="0" applyFont="1" applyBorder="1" applyAlignment="1">
      <alignment horizontal="left" vertical="top" wrapText="1"/>
    </xf>
    <xf numFmtId="0" fontId="9" fillId="8" borderId="17" xfId="0" applyFont="1" applyFill="1" applyBorder="1"/>
    <xf numFmtId="0" fontId="9" fillId="8" borderId="16" xfId="0" applyFont="1" applyFill="1" applyBorder="1"/>
    <xf numFmtId="0" fontId="9" fillId="5" borderId="17" xfId="0" applyFont="1" applyFill="1" applyBorder="1"/>
    <xf numFmtId="0" fontId="9" fillId="5" borderId="16" xfId="0" applyFont="1" applyFill="1" applyBorder="1"/>
  </cellXfs>
  <cellStyles count="10">
    <cellStyle name="Hipervínculo" xfId="7" builtinId="8"/>
    <cellStyle name="l]_x000d__x000a_Path=M:\RIOCEN01_x000d__x000a_Name=Carlos Emilio Brousse_x000d__x000a_DDEApps=nsf,nsg,nsh,ntf,ns2,ors,org_x000d__x000a_SmartIcons=Todos_x000d__x000a_" xfId="1" xr:uid="{00000000-0005-0000-0000-000000000000}"/>
    <cellStyle name="l]_x000d__x000a_Path=M:\RIOCEN01_x000d__x000a_Name=Carlos Emilio Brousse_x000d__x000a_DDEApps=nsf,nsg,nsh,ntf,ns2,ors,org_x000d__x000a_SmartIcons=Todos_x000d__x000a_ 2" xfId="5" xr:uid="{00000000-0005-0000-0000-000001000000}"/>
    <cellStyle name="Millares 2" xfId="8" xr:uid="{00000000-0005-0000-0000-000037000000}"/>
    <cellStyle name="Normal" xfId="0" builtinId="0"/>
    <cellStyle name="Normal 2" xfId="3" xr:uid="{00000000-0005-0000-0000-000003000000}"/>
    <cellStyle name="Normal 3" xfId="6" xr:uid="{00000000-0005-0000-0000-000004000000}"/>
    <cellStyle name="Normal_Matriz_Registro_Base_BO_Control" xfId="2" xr:uid="{00000000-0005-0000-0000-000005000000}"/>
    <cellStyle name="Normal_Matriz_Registro_Base_BO_Control 2" xfId="4" xr:uid="{00000000-0005-0000-0000-000006000000}"/>
    <cellStyle name="Porcentaje" xfId="9" builtinId="5"/>
  </cellStyles>
  <dxfs count="107">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ont>
        <condense val="0"/>
        <extend val="0"/>
        <color rgb="FF9C0006"/>
      </font>
      <fill>
        <patternFill>
          <bgColor rgb="FFFFC7CE"/>
        </patternFill>
      </fill>
    </dxf>
    <dxf>
      <font>
        <color auto="1"/>
      </font>
      <fill>
        <patternFill>
          <bgColor rgb="FFFF0000"/>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ndense val="0"/>
        <extend val="0"/>
        <color indexed="42"/>
      </font>
      <fill>
        <patternFill>
          <bgColor indexed="42"/>
        </patternFill>
      </fill>
    </dxf>
    <dxf>
      <font>
        <condense val="0"/>
        <extend val="0"/>
        <color indexed="13"/>
      </font>
      <fill>
        <patternFill>
          <bgColor indexed="13"/>
        </patternFill>
      </fill>
    </dxf>
    <dxf>
      <font>
        <condense val="0"/>
        <extend val="0"/>
        <color indexed="51"/>
      </font>
      <fill>
        <patternFill>
          <bgColor indexed="52"/>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s>
  <tableStyles count="0" defaultTableStyle="TableStyleMedium2" defaultPivotStyle="PivotStyleLight16"/>
  <colors>
    <mruColors>
      <color rgb="FFCC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bar"/>
        <c:grouping val="clustered"/>
        <c:varyColors val="0"/>
        <c:ser>
          <c:idx val="0"/>
          <c:order val="0"/>
          <c:tx>
            <c:strRef>
              <c:f>'Escala Controles.'!$F$9</c:f>
              <c:strCache>
                <c:ptCount val="1"/>
                <c:pt idx="0">
                  <c:v>SI</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'Escala Controles.'!$G$8:$J$8</c:f>
            </c:multiLvlStrRef>
          </c:cat>
          <c:val>
            <c:numRef>
              <c:f>'Escala Controles.'!$G$9:$J$9</c:f>
            </c:numRef>
          </c:val>
          <c:extLst>
            <c:ext xmlns:c16="http://schemas.microsoft.com/office/drawing/2014/chart" uri="{C3380CC4-5D6E-409C-BE32-E72D297353CC}">
              <c16:uniqueId val="{00000000-E210-40AC-8B7E-C23725F7CCA7}"/>
            </c:ext>
          </c:extLst>
        </c:ser>
        <c:ser>
          <c:idx val="1"/>
          <c:order val="1"/>
          <c:tx>
            <c:strRef>
              <c:f>'Escala Controles.'!$F$10</c:f>
              <c:strCache>
                <c:ptCount val="1"/>
                <c:pt idx="0">
                  <c:v>NO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'Escala Controles.'!$G$8:$J$8</c:f>
            </c:multiLvlStrRef>
          </c:cat>
          <c:val>
            <c:numRef>
              <c:f>'Escala Controles.'!$G$10:$J$10</c:f>
            </c:numRef>
          </c:val>
          <c:extLst>
            <c:ext xmlns:c16="http://schemas.microsoft.com/office/drawing/2014/chart" uri="{C3380CC4-5D6E-409C-BE32-E72D297353CC}">
              <c16:uniqueId val="{00000001-E210-40AC-8B7E-C23725F7CCA7}"/>
            </c:ext>
          </c:extLst>
        </c:ser>
        <c:dLbls>
          <c:dLblPos val="outEnd"/>
          <c:showLegendKey val="0"/>
          <c:showVal val="1"/>
          <c:showCatName val="0"/>
          <c:showSerName val="0"/>
          <c:showPercent val="0"/>
          <c:showBubbleSize val="0"/>
        </c:dLbls>
        <c:gapWidth val="182"/>
        <c:axId val="653649264"/>
        <c:axId val="653640736"/>
      </c:barChart>
      <c:catAx>
        <c:axId val="653649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653640736"/>
        <c:crosses val="autoZero"/>
        <c:auto val="1"/>
        <c:lblAlgn val="ctr"/>
        <c:lblOffset val="100"/>
        <c:noMultiLvlLbl val="0"/>
      </c:catAx>
      <c:valAx>
        <c:axId val="653640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65364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'inherente - residual '!$I$3</c:f>
              <c:strCache>
                <c:ptCount val="1"/>
                <c:pt idx="0">
                  <c:v>Inherente (ANTES)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'inherente - residual '!$H$4:$H$8</c:f>
              <c:strCache>
                <c:ptCount val="5"/>
                <c:pt idx="0">
                  <c:v>Bajo</c:v>
                </c:pt>
                <c:pt idx="1">
                  <c:v>Medio Bajo</c:v>
                </c:pt>
                <c:pt idx="2">
                  <c:v>Medio</c:v>
                </c:pt>
                <c:pt idx="3">
                  <c:v>Medio alto</c:v>
                </c:pt>
                <c:pt idx="4">
                  <c:v>Alto</c:v>
                </c:pt>
              </c:strCache>
            </c:strRef>
          </c:cat>
          <c:val>
            <c:numRef>
              <c:f>'inherente - residual '!$I$4:$I$8</c:f>
              <c:numCache>
                <c:formatCode>General</c:formatCode>
                <c:ptCount val="5"/>
                <c:pt idx="0">
                  <c:v>0</c:v>
                </c:pt>
                <c:pt idx="1">
                  <c:v>0</c:v>
                </c:pt>
                <c:pt idx="2">
                  <c:v>2</c:v>
                </c:pt>
                <c:pt idx="3">
                  <c:v>101</c:v>
                </c:pt>
                <c:pt idx="4">
                  <c:v>42</c:v>
                </c:pt>
              </c:numCache>
            </c:numRef>
          </c:val>
          <c:extLst>
            <c:ext xmlns:c16="http://schemas.microsoft.com/office/drawing/2014/chart" uri="{C3380CC4-5D6E-409C-BE32-E72D297353CC}">
              <c16:uniqueId val="{00000000-3F2C-412D-8D59-857A8EB4646E}"/>
            </c:ext>
          </c:extLst>
        </c:ser>
        <c:ser>
          <c:idx val="1"/>
          <c:order val="1"/>
          <c:tx>
            <c:strRef>
              <c:f>'inherente - residual '!$J$3</c:f>
              <c:strCache>
                <c:ptCount val="1"/>
                <c:pt idx="0">
                  <c:v>Inherente (DESPUES)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'inherente - residual '!$H$4:$H$8</c:f>
              <c:strCache>
                <c:ptCount val="5"/>
                <c:pt idx="0">
                  <c:v>Bajo</c:v>
                </c:pt>
                <c:pt idx="1">
                  <c:v>Medio Bajo</c:v>
                </c:pt>
                <c:pt idx="2">
                  <c:v>Medio</c:v>
                </c:pt>
                <c:pt idx="3">
                  <c:v>Medio alto</c:v>
                </c:pt>
                <c:pt idx="4">
                  <c:v>Alto</c:v>
                </c:pt>
              </c:strCache>
            </c:strRef>
          </c:cat>
          <c:val>
            <c:numRef>
              <c:f>'inherente - residual '!$J$4:$J$8</c:f>
              <c:numCache>
                <c:formatCode>General</c:formatCode>
                <c:ptCount val="5"/>
                <c:pt idx="0">
                  <c:v>0</c:v>
                </c:pt>
                <c:pt idx="1">
                  <c:v>0</c:v>
                </c:pt>
                <c:pt idx="2">
                  <c:v>3</c:v>
                </c:pt>
                <c:pt idx="3">
                  <c:v>103</c:v>
                </c:pt>
                <c:pt idx="4">
                  <c:v>46</c:v>
                </c:pt>
              </c:numCache>
            </c:numRef>
          </c:val>
          <c:extLst>
            <c:ext xmlns:c16="http://schemas.microsoft.com/office/drawing/2014/chart" uri="{C3380CC4-5D6E-409C-BE32-E72D297353CC}">
              <c16:uniqueId val="{00000001-3F2C-412D-8D59-857A8EB4646E}"/>
            </c:ext>
          </c:extLst>
        </c:ser>
        <c:ser>
          <c:idx val="2"/>
          <c:order val="2"/>
          <c:tx>
            <c:strRef>
              <c:f>'inherente - residual '!$K$3</c:f>
              <c:strCache>
                <c:ptCount val="1"/>
                <c:pt idx="0">
                  <c:v>Residual(ANTES)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'inherente - residual '!$H$4:$H$8</c:f>
              <c:strCache>
                <c:ptCount val="5"/>
                <c:pt idx="0">
                  <c:v>Bajo</c:v>
                </c:pt>
                <c:pt idx="1">
                  <c:v>Medio Bajo</c:v>
                </c:pt>
                <c:pt idx="2">
                  <c:v>Medio</c:v>
                </c:pt>
                <c:pt idx="3">
                  <c:v>Medio alto</c:v>
                </c:pt>
                <c:pt idx="4">
                  <c:v>Alto</c:v>
                </c:pt>
              </c:strCache>
            </c:strRef>
          </c:cat>
          <c:val>
            <c:numRef>
              <c:f>'inherente - residual '!$K$4:$K$8</c:f>
              <c:numCache>
                <c:formatCode>General</c:formatCode>
                <c:ptCount val="5"/>
                <c:pt idx="0">
                  <c:v>1</c:v>
                </c:pt>
                <c:pt idx="1">
                  <c:v>82</c:v>
                </c:pt>
                <c:pt idx="2">
                  <c:v>58</c:v>
                </c:pt>
                <c:pt idx="3">
                  <c:v>2</c:v>
                </c:pt>
                <c:pt idx="4">
                  <c:v>2</c:v>
                </c:pt>
              </c:numCache>
            </c:numRef>
          </c:val>
          <c:extLst>
            <c:ext xmlns:c16="http://schemas.microsoft.com/office/drawing/2014/chart" uri="{C3380CC4-5D6E-409C-BE32-E72D297353CC}">
              <c16:uniqueId val="{00000002-3F2C-412D-8D59-857A8EB4646E}"/>
            </c:ext>
          </c:extLst>
        </c:ser>
        <c:ser>
          <c:idx val="3"/>
          <c:order val="3"/>
          <c:tx>
            <c:strRef>
              <c:f>'inherente - residual '!$L$3</c:f>
              <c:strCache>
                <c:ptCount val="1"/>
                <c:pt idx="0">
                  <c:v>Residual (DESPUES)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'inherente - residual '!$H$4:$H$8</c:f>
              <c:strCache>
                <c:ptCount val="5"/>
                <c:pt idx="0">
                  <c:v>Bajo</c:v>
                </c:pt>
                <c:pt idx="1">
                  <c:v>Medio Bajo</c:v>
                </c:pt>
                <c:pt idx="2">
                  <c:v>Medio</c:v>
                </c:pt>
                <c:pt idx="3">
                  <c:v>Medio alto</c:v>
                </c:pt>
                <c:pt idx="4">
                  <c:v>Alto</c:v>
                </c:pt>
              </c:strCache>
            </c:strRef>
          </c:cat>
          <c:val>
            <c:numRef>
              <c:f>'inherente - residual '!$L$4:$L$8</c:f>
              <c:numCache>
                <c:formatCode>General</c:formatCode>
                <c:ptCount val="5"/>
                <c:pt idx="0">
                  <c:v>7</c:v>
                </c:pt>
                <c:pt idx="1">
                  <c:v>76</c:v>
                </c:pt>
                <c:pt idx="2">
                  <c:v>65</c:v>
                </c:pt>
                <c:pt idx="3">
                  <c:v>4</c:v>
                </c:pt>
                <c:pt idx="4">
                  <c:v>0</c:v>
                </c:pt>
              </c:numCache>
            </c:numRef>
          </c:val>
          <c:extLst>
            <c:ext xmlns:c16="http://schemas.microsoft.com/office/drawing/2014/chart" uri="{C3380CC4-5D6E-409C-BE32-E72D297353CC}">
              <c16:uniqueId val="{00000003-3F2C-412D-8D59-857A8EB4646E}"/>
            </c:ext>
          </c:extLst>
        </c:ser>
        <c:dLbls>
          <c:dLblPos val="outEnd"/>
          <c:showLegendKey val="0"/>
          <c:showVal val="1"/>
          <c:showCatName val="0"/>
          <c:showSerName val="0"/>
          <c:showPercent val="0"/>
          <c:showBubbleSize val="0"/>
        </c:dLbls>
        <c:gapWidth val="182"/>
        <c:axId val="746924664"/>
        <c:axId val="746928600"/>
      </c:barChart>
      <c:catAx>
        <c:axId val="746924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746928600"/>
        <c:crosses val="autoZero"/>
        <c:auto val="1"/>
        <c:lblAlgn val="ctr"/>
        <c:lblOffset val="100"/>
        <c:noMultiLvlLbl val="0"/>
      </c:catAx>
      <c:valAx>
        <c:axId val="7469286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746924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533400</xdr:colOff>
      <xdr:row>0</xdr:row>
      <xdr:rowOff>295275</xdr:rowOff>
    </xdr:from>
    <xdr:to>
      <xdr:col>13</xdr:col>
      <xdr:colOff>447675</xdr:colOff>
      <xdr:row>2</xdr:row>
      <xdr:rowOff>0</xdr:rowOff>
    </xdr:to>
    <xdr:sp macro="[0]!Macro1" textlink="">
      <xdr:nvSpPr>
        <xdr:cNvPr id="2" name="Elipse 1">
          <a:extLst>
            <a:ext uri="{FF2B5EF4-FFF2-40B4-BE49-F238E27FC236}">
              <a16:creationId xmlns:a16="http://schemas.microsoft.com/office/drawing/2014/main" id="{3BA65AC0-BA14-4385-BA4C-260A30B626DD}"/>
            </a:ext>
          </a:extLst>
        </xdr:cNvPr>
        <xdr:cNvSpPr/>
      </xdr:nvSpPr>
      <xdr:spPr>
        <a:xfrm>
          <a:off x="9163050" y="295275"/>
          <a:ext cx="1438275" cy="65722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CALCULAR</a:t>
          </a:r>
        </a:p>
      </xdr:txBody>
    </xdr:sp>
    <xdr:clientData/>
  </xdr:twoCellAnchor>
  <xdr:twoCellAnchor>
    <xdr:from>
      <xdr:col>5</xdr:col>
      <xdr:colOff>342899</xdr:colOff>
      <xdr:row>11</xdr:row>
      <xdr:rowOff>185737</xdr:rowOff>
    </xdr:from>
    <xdr:to>
      <xdr:col>12</xdr:col>
      <xdr:colOff>752474</xdr:colOff>
      <xdr:row>26</xdr:row>
      <xdr:rowOff>71437</xdr:rowOff>
    </xdr:to>
    <xdr:graphicFrame macro="">
      <xdr:nvGraphicFramePr>
        <xdr:cNvPr id="3" name="Gráfico 2">
          <a:extLst>
            <a:ext uri="{FF2B5EF4-FFF2-40B4-BE49-F238E27FC236}">
              <a16:creationId xmlns:a16="http://schemas.microsoft.com/office/drawing/2014/main" id="{3E17F29D-989B-4779-AED7-079C446D0A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619125</xdr:colOff>
      <xdr:row>10</xdr:row>
      <xdr:rowOff>33337</xdr:rowOff>
    </xdr:from>
    <xdr:to>
      <xdr:col>15</xdr:col>
      <xdr:colOff>105833</xdr:colOff>
      <xdr:row>31</xdr:row>
      <xdr:rowOff>31751</xdr:rowOff>
    </xdr:to>
    <xdr:graphicFrame macro="">
      <xdr:nvGraphicFramePr>
        <xdr:cNvPr id="2" name="Gráfico 1">
          <a:extLst>
            <a:ext uri="{FF2B5EF4-FFF2-40B4-BE49-F238E27FC236}">
              <a16:creationId xmlns:a16="http://schemas.microsoft.com/office/drawing/2014/main" id="{B44E5702-F3E0-4107-9008-87E33D8147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oyarce/OneDrive%20-%20BANCO%20DEL%20ESTADO%20DE%20CHILE/Procesos/2022/Procesos%20Comex/Ordenes%20de%20Pago/Matriz%20de%20Riesgo%202021%20Proceso%20Emitir%20y%20Cancelar%20Ordenes%20de%20Pago%20MX.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B°"/>
      <sheetName val="Matriz ROP"/>
      <sheetName val="PLANES DE ACCIÓN"/>
      <sheetName val="KRI"/>
      <sheetName val="Escala"/>
      <sheetName val="Tipologías"/>
      <sheetName val="Hoja1"/>
    </sheetNames>
    <sheetDataSet>
      <sheetData sheetId="0"/>
      <sheetData sheetId="1"/>
      <sheetData sheetId="2"/>
      <sheetData sheetId="3"/>
      <sheetData sheetId="4"/>
      <sheetData sheetId="5"/>
      <sheetData sheetId="6"/>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91AC5-70A1-42CE-88E9-C8F029149C06}">
  <sheetPr codeName="Hoja1"/>
  <dimension ref="A1:E10"/>
  <sheetViews>
    <sheetView workbookViewId="0">
      <selection activeCell="A10" sqref="A10"/>
    </sheetView>
  </sheetViews>
  <sheetFormatPr baseColWidth="10" defaultColWidth="72.54296875" defaultRowHeight="14" x14ac:dyDescent="0.3"/>
  <cols>
    <col min="1" max="1" width="7.81640625" style="100" customWidth="1"/>
    <col min="2" max="2" width="31" style="100" bestFit="1" customWidth="1"/>
    <col min="3" max="3" width="37.81640625" style="100" customWidth="1"/>
    <col min="4" max="4" width="73.453125" style="100" customWidth="1"/>
    <col min="5" max="5" width="30" style="100" customWidth="1"/>
    <col min="6" max="16384" width="72.54296875" style="100"/>
  </cols>
  <sheetData>
    <row r="1" spans="1:5" ht="16" thickBot="1" x14ac:dyDescent="0.4">
      <c r="A1" s="99"/>
      <c r="B1" s="99"/>
      <c r="C1" s="99"/>
      <c r="D1" s="99"/>
      <c r="E1" s="99"/>
    </row>
    <row r="2" spans="1:5" ht="15" customHeight="1" x14ac:dyDescent="0.35">
      <c r="A2" s="99"/>
      <c r="B2" s="158" t="s">
        <v>223</v>
      </c>
      <c r="C2" s="159"/>
      <c r="D2" s="159"/>
      <c r="E2" s="159"/>
    </row>
    <row r="3" spans="1:5" ht="15.5" x14ac:dyDescent="0.35">
      <c r="A3" s="99"/>
      <c r="B3" s="101"/>
      <c r="C3" s="101"/>
      <c r="D3" s="101"/>
      <c r="E3" s="101"/>
    </row>
    <row r="4" spans="1:5" ht="15" customHeight="1" x14ac:dyDescent="0.35">
      <c r="A4" s="99"/>
      <c r="B4" s="102" t="s">
        <v>224</v>
      </c>
      <c r="C4" s="160"/>
      <c r="D4" s="161"/>
      <c r="E4" s="162"/>
    </row>
    <row r="5" spans="1:5" ht="33" customHeight="1" x14ac:dyDescent="0.35">
      <c r="A5" s="99"/>
      <c r="B5" s="103" t="s">
        <v>225</v>
      </c>
      <c r="C5" s="160"/>
      <c r="D5" s="161"/>
      <c r="E5" s="162"/>
    </row>
    <row r="6" spans="1:5" ht="33" customHeight="1" x14ac:dyDescent="0.35">
      <c r="A6" s="99"/>
      <c r="B6" s="103" t="s">
        <v>226</v>
      </c>
      <c r="C6" s="160"/>
      <c r="D6" s="161"/>
      <c r="E6" s="162"/>
    </row>
    <row r="7" spans="1:5" ht="15.5" x14ac:dyDescent="0.35">
      <c r="A7" s="99"/>
      <c r="B7" s="101"/>
      <c r="C7" s="101"/>
      <c r="D7" s="101"/>
      <c r="E7" s="101"/>
    </row>
    <row r="8" spans="1:5" ht="15.5" x14ac:dyDescent="0.35">
      <c r="A8" s="99"/>
      <c r="B8" s="104" t="s">
        <v>227</v>
      </c>
      <c r="C8" s="163" t="s">
        <v>0</v>
      </c>
      <c r="D8" s="164"/>
      <c r="E8" s="105" t="s">
        <v>230</v>
      </c>
    </row>
    <row r="9" spans="1:5" ht="15.5" x14ac:dyDescent="0.35">
      <c r="A9" s="99"/>
      <c r="B9" s="106" t="s">
        <v>228</v>
      </c>
      <c r="C9" s="165"/>
      <c r="D9" s="166"/>
      <c r="E9" s="107"/>
    </row>
    <row r="10" spans="1:5" ht="15.5" x14ac:dyDescent="0.35">
      <c r="A10" s="99"/>
      <c r="B10" s="108" t="s">
        <v>229</v>
      </c>
      <c r="C10" s="156"/>
      <c r="D10" s="157"/>
      <c r="E10" s="107"/>
    </row>
  </sheetData>
  <mergeCells count="7">
    <mergeCell ref="C10:D10"/>
    <mergeCell ref="B2:E2"/>
    <mergeCell ref="C4:E4"/>
    <mergeCell ref="C5:E5"/>
    <mergeCell ref="C6:E6"/>
    <mergeCell ref="C8:D8"/>
    <mergeCell ref="C9:D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K45"/>
  <sheetViews>
    <sheetView showGridLines="0" tabSelected="1" zoomScale="50" zoomScaleNormal="50" zoomScaleSheetLayoutView="80" workbookViewId="0">
      <pane ySplit="4" topLeftCell="A5" activePane="bottomLeft" state="frozen"/>
      <selection pane="bottomLeft" activeCell="B5" sqref="B5"/>
    </sheetView>
  </sheetViews>
  <sheetFormatPr baseColWidth="10" defaultColWidth="11.453125" defaultRowHeight="14" x14ac:dyDescent="0.3"/>
  <cols>
    <col min="1" max="1" width="21.7265625" style="26" customWidth="1"/>
    <col min="2" max="2" width="25.54296875" style="26" customWidth="1"/>
    <col min="3" max="3" width="25.1796875" style="47" customWidth="1"/>
    <col min="4" max="4" width="24.54296875" style="47" customWidth="1"/>
    <col min="5" max="5" width="25.453125" style="47" customWidth="1"/>
    <col min="6" max="6" width="84.81640625" style="26" customWidth="1"/>
    <col min="7" max="7" width="63.6328125" style="26" customWidth="1"/>
    <col min="8" max="9" width="23.54296875" style="26" customWidth="1"/>
    <col min="10" max="10" width="20.54296875" style="26" customWidth="1"/>
    <col min="11" max="11" width="18.1796875" style="26" customWidth="1"/>
    <col min="12" max="12" width="22.453125" style="26" customWidth="1"/>
    <col min="13" max="14" width="23.81640625" style="26" customWidth="1"/>
    <col min="15" max="15" width="15.54296875" style="26" customWidth="1"/>
    <col min="16" max="16" width="17.1796875" style="26" customWidth="1"/>
    <col min="17" max="17" width="19.7265625" style="26" bestFit="1" customWidth="1"/>
    <col min="18" max="18" width="18" style="26" customWidth="1"/>
    <col min="19" max="19" width="21.7265625" style="26" bestFit="1" customWidth="1"/>
    <col min="20" max="20" width="20.81640625" style="26" bestFit="1" customWidth="1"/>
    <col min="21" max="21" width="25" style="26" bestFit="1" customWidth="1"/>
    <col min="22" max="22" width="13.1796875" style="26" customWidth="1"/>
    <col min="23" max="23" width="11.54296875" style="26" customWidth="1"/>
    <col min="24" max="25" width="12.54296875" style="26" customWidth="1"/>
    <col min="26" max="43" width="12.54296875" style="26" hidden="1" customWidth="1"/>
    <col min="44" max="53" width="11.453125" style="26" hidden="1" customWidth="1"/>
    <col min="54" max="54" width="13.54296875" style="26" hidden="1" customWidth="1"/>
    <col min="55" max="55" width="8.81640625" style="112" hidden="1" customWidth="1"/>
    <col min="56" max="56" width="15.54296875" style="26" hidden="1" customWidth="1"/>
    <col min="57" max="57" width="17.54296875" style="26" hidden="1" customWidth="1"/>
    <col min="58" max="58" width="17.26953125" style="26" hidden="1" customWidth="1"/>
    <col min="59" max="59" width="14.7265625" style="26" hidden="1" customWidth="1"/>
    <col min="60" max="60" width="14.1796875" style="26" hidden="1" customWidth="1"/>
    <col min="61" max="61" width="17.54296875" style="26" hidden="1" customWidth="1"/>
    <col min="62" max="62" width="11.453125" style="26" hidden="1" customWidth="1" collapsed="1"/>
    <col min="63" max="87" width="11.453125" style="26" customWidth="1"/>
    <col min="88" max="16384" width="11.453125" style="26"/>
  </cols>
  <sheetData>
    <row r="1" spans="1:61" x14ac:dyDescent="0.3">
      <c r="M1" s="118"/>
    </row>
    <row r="2" spans="1:61" x14ac:dyDescent="0.3">
      <c r="A2" s="193" t="s">
        <v>221</v>
      </c>
      <c r="B2" s="193"/>
      <c r="C2" s="193"/>
      <c r="D2" s="193"/>
      <c r="E2" s="193"/>
      <c r="F2" s="193"/>
      <c r="G2" s="193"/>
      <c r="H2" s="119"/>
      <c r="I2" s="119"/>
      <c r="J2" s="119"/>
      <c r="K2" s="119"/>
      <c r="L2" s="119"/>
      <c r="M2" s="119"/>
      <c r="N2" s="119"/>
      <c r="O2" s="27"/>
      <c r="U2" s="71" t="s">
        <v>1</v>
      </c>
      <c r="V2" s="185" t="str">
        <f>IF($G$42&lt;&gt;0,"Alto",IF($F$42&lt;&gt;0,"Medio Alto",IF($E$42&lt;&gt;0,"Medio",IF($D$42&lt;&gt;0,"Medio Bajo",IF($C$42&lt;&gt;0,"Bajo","Revisar")))))</f>
        <v>Medio Alto</v>
      </c>
      <c r="W2" s="185" t="str">
        <f>+IF($BA$3&gt;$BA$2,$V$2,IF($G$44&lt;&gt;0,"Alto",IF($F$44&lt;&gt;0,"Medio Alto",IF($E$44&lt;&gt;0,"Medio",IF($D$44&lt;&gt;0,"Medio Bajo",IF($C$44&lt;&gt;0,"Bajo"))))))</f>
        <v>Medio Alto</v>
      </c>
      <c r="BA2" s="28">
        <f>VALUE(VLOOKUP($V$2,Hoja1!$L$2:$M$6,2,0))</f>
        <v>4</v>
      </c>
      <c r="BB2" s="180" t="str">
        <f>+IF($G$44&lt;&gt;0,"Alto",IF($F$44&lt;&gt;0,"Medio Alto",IF($E$44&lt;&gt;0,"Medio",IF($D$44&lt;&gt;0,"Medio Bajo",IF($C$44&lt;&gt;0,"Bajo")))))</f>
        <v>Medio Alto</v>
      </c>
    </row>
    <row r="3" spans="1:61" x14ac:dyDescent="0.3">
      <c r="A3" s="182" t="s">
        <v>2</v>
      </c>
      <c r="B3" s="182"/>
      <c r="C3" s="182" t="s">
        <v>222</v>
      </c>
      <c r="D3" s="182"/>
      <c r="E3" s="182"/>
      <c r="F3" s="182"/>
      <c r="G3" s="182"/>
      <c r="H3" s="201" t="s">
        <v>236</v>
      </c>
      <c r="I3" s="202"/>
      <c r="J3" s="202"/>
      <c r="K3" s="202"/>
      <c r="L3" s="202"/>
      <c r="M3" s="202"/>
      <c r="N3" s="202"/>
      <c r="O3" s="29"/>
      <c r="P3" s="194" t="s">
        <v>3</v>
      </c>
      <c r="Q3" s="195"/>
      <c r="R3" s="195"/>
      <c r="S3" s="195"/>
      <c r="T3" s="196"/>
      <c r="V3" s="186"/>
      <c r="W3" s="186"/>
      <c r="BA3" s="28">
        <f>VALUE(VLOOKUP($BB$2,Hoja1!$L$2:$M$6,2,0))</f>
        <v>4</v>
      </c>
      <c r="BB3" s="181"/>
    </row>
    <row r="4" spans="1:61" ht="42" x14ac:dyDescent="0.3">
      <c r="A4" s="30" t="s">
        <v>4</v>
      </c>
      <c r="B4" s="30" t="s">
        <v>5</v>
      </c>
      <c r="C4" s="30" t="s">
        <v>6</v>
      </c>
      <c r="D4" s="30" t="s">
        <v>7</v>
      </c>
      <c r="E4" s="30" t="s">
        <v>8</v>
      </c>
      <c r="F4" s="30" t="s">
        <v>9</v>
      </c>
      <c r="G4" s="30" t="s">
        <v>10</v>
      </c>
      <c r="H4" s="110" t="s">
        <v>237</v>
      </c>
      <c r="I4" s="110" t="s">
        <v>238</v>
      </c>
      <c r="J4" s="110" t="s">
        <v>240</v>
      </c>
      <c r="K4" s="110" t="s">
        <v>247</v>
      </c>
      <c r="L4" s="110" t="s">
        <v>239</v>
      </c>
      <c r="M4" s="110" t="s">
        <v>248</v>
      </c>
      <c r="N4" s="110" t="s">
        <v>249</v>
      </c>
      <c r="O4" s="30" t="s">
        <v>11</v>
      </c>
      <c r="P4" s="31" t="s">
        <v>12</v>
      </c>
      <c r="Q4" s="31" t="s">
        <v>13</v>
      </c>
      <c r="R4" s="31" t="s">
        <v>14</v>
      </c>
      <c r="S4" s="31" t="s">
        <v>15</v>
      </c>
      <c r="T4" s="31" t="s">
        <v>16</v>
      </c>
      <c r="U4" s="30" t="s">
        <v>17</v>
      </c>
      <c r="V4" s="32" t="s">
        <v>18</v>
      </c>
      <c r="W4" s="32" t="s">
        <v>19</v>
      </c>
      <c r="X4" s="30" t="s">
        <v>20</v>
      </c>
      <c r="Y4" s="30" t="s">
        <v>21</v>
      </c>
      <c r="Z4" s="33"/>
      <c r="AA4" s="33"/>
      <c r="AB4" s="33"/>
      <c r="AC4" s="33"/>
      <c r="AD4" s="33"/>
      <c r="AE4" s="33"/>
      <c r="AF4" s="33"/>
      <c r="AG4" s="33"/>
      <c r="AH4" s="33"/>
      <c r="AI4" s="33"/>
      <c r="AJ4" s="33"/>
      <c r="AK4" s="33"/>
      <c r="AL4" s="33"/>
      <c r="AM4" s="33"/>
      <c r="AN4" s="33"/>
      <c r="AO4" s="33"/>
      <c r="AP4" s="33"/>
      <c r="AQ4" s="33"/>
      <c r="AS4" s="34" t="s">
        <v>12</v>
      </c>
      <c r="AT4" s="34" t="s">
        <v>13</v>
      </c>
      <c r="AU4" s="34" t="s">
        <v>14</v>
      </c>
      <c r="AV4" s="34" t="s">
        <v>15</v>
      </c>
      <c r="AW4" s="34" t="s">
        <v>16</v>
      </c>
      <c r="AX4" s="34" t="s">
        <v>22</v>
      </c>
      <c r="AY4" s="35" t="s">
        <v>23</v>
      </c>
      <c r="AZ4" s="36" t="s">
        <v>24</v>
      </c>
      <c r="BA4" s="30" t="s">
        <v>25</v>
      </c>
      <c r="BB4" s="30" t="s">
        <v>26</v>
      </c>
      <c r="BD4" s="110" t="s">
        <v>237</v>
      </c>
      <c r="BE4" s="110" t="s">
        <v>238</v>
      </c>
      <c r="BF4" s="110" t="s">
        <v>240</v>
      </c>
      <c r="BG4" s="110" t="s">
        <v>247</v>
      </c>
      <c r="BH4" s="110" t="s">
        <v>239</v>
      </c>
      <c r="BI4" s="110" t="s">
        <v>246</v>
      </c>
    </row>
    <row r="5" spans="1:61" ht="137" customHeight="1" x14ac:dyDescent="0.3">
      <c r="A5" s="130" t="s">
        <v>375</v>
      </c>
      <c r="B5" s="72" t="s">
        <v>282</v>
      </c>
      <c r="C5" s="38" t="s">
        <v>151</v>
      </c>
      <c r="D5" s="38" t="s">
        <v>31</v>
      </c>
      <c r="E5" s="38" t="s">
        <v>32</v>
      </c>
      <c r="F5" s="73" t="s">
        <v>283</v>
      </c>
      <c r="G5" s="73" t="s">
        <v>295</v>
      </c>
      <c r="H5" s="109" t="s">
        <v>376</v>
      </c>
      <c r="I5" s="39" t="s">
        <v>471</v>
      </c>
      <c r="J5" s="39" t="s">
        <v>244</v>
      </c>
      <c r="K5" s="39" t="s">
        <v>393</v>
      </c>
      <c r="L5" s="39" t="s">
        <v>469</v>
      </c>
      <c r="M5" s="114">
        <f t="shared" ref="M5:M9" si="0">IF(H5="SIN CONTROL",0%,BI5)</f>
        <v>0.55000000000000004</v>
      </c>
      <c r="N5" s="115" t="str">
        <f>IF(M5&lt;='Escala Controles.'!$J$2,"1 DEFICIENTE",IF(M5&lt;='Escala Controles.'!$J$3,"2 REGULAR",IF(M5&lt;='Escala Controles.'!$J$4,"3 SUFICIENTE",IF(M5&lt;='Escala Controles.'!$J$5,"4 BUENO","5 OPTIMO"))))</f>
        <v>2 REGULAR</v>
      </c>
      <c r="O5" s="40" t="str">
        <f t="shared" ref="O5" si="1">IF(OR(P5="",Q5="",R5="",S5="",T5=""),"completar impactos",IF(LEFT(P5,1)="5","Monetario",IF(LEFT(Q5,1)="5","Clientes",IF(LEFT(R5,1)="5","Reputacional",IF(LEFT(S5,1)="5","Normativo",IF(LEFT(T5,1)="5","Procesos",IF(LEFT(P5,1)="4","Monetario",IF(LEFT(Q5,1)="4","Clientes",IF(LEFT(R5,1)="4","Reputacional",IF(LEFT(S5,1)="4","Normativo",IF(LEFT(T5,1)="4","Procesos",IF(LEFT(P5,1)="3","Monetario",IF(LEFT(Q5,1)="3","Clientes",IF(LEFT(R5,1)="3","Reputacional",IF(LEFT(S5,1)="3","Normativo",IF(LEFT(T5,1)="3","Procesos",IF(LEFT(P5,1)="2","Monetario",IF(LEFT(Q5,1)="2","Clientes",IF(LEFT(R5,1)="2","Reputacional",IF(LEFT(S5,1)="2","Normativo",IF(LEFT(T5,1)="2","Procesos","Monetario")))))))))))))))))))))</f>
        <v>Monetario</v>
      </c>
      <c r="P5" s="41" t="s">
        <v>281</v>
      </c>
      <c r="Q5" s="41" t="s">
        <v>281</v>
      </c>
      <c r="R5" s="41" t="s">
        <v>280</v>
      </c>
      <c r="S5" s="41" t="s">
        <v>281</v>
      </c>
      <c r="T5" s="41" t="s">
        <v>281</v>
      </c>
      <c r="U5" s="41" t="s">
        <v>35</v>
      </c>
      <c r="V5" s="42" t="str">
        <f>IF(AND(AX5=5,U5="1 Muy poco probable"),"Medio Alto",IF(BA5&lt;=2.99,"Bajo",IF(BA5&lt;=4.99,"Medio bajo",IF(BA5&lt;=9.99,"Medio",IF(BA5&lt;=14.99,"Medio alto","Alto")))))</f>
        <v>Medio</v>
      </c>
      <c r="W5" s="42" t="str">
        <f>IF(N5="1 DEFICIENTE",V5,IF(AND(AX5=5,AY5=1,AZ5=3),"Medio Bajo",IF(AND(AX5=5,AY5=1,AZ5=2),"Medio",IF(AND(AX5=5,U5="1 Muy poco probable",N5="1 Deficiente"),"Medio Alto",IF(BB5&lt;2,"Bajo",IF(BB5&lt;4,"Medio bajo",IF(BB5&lt;6,"Medio",IF(BB5&lt;14,"Medio alto","Alto"))))))))</f>
        <v>Medio bajo</v>
      </c>
      <c r="X5" s="42" t="str">
        <f t="shared" ref="X5" si="2">IF(AND(OR(V5="Medio Alto",V5="Alto"),(OR(W5="Medio",W5="Medio Alto",W5="Alto"))),"SI","NO")</f>
        <v>NO</v>
      </c>
      <c r="Y5" s="42" t="str">
        <f t="shared" ref="Y5" si="3">IF(OR(W5="Medio Alto",W5="Alto"),"SI","NO")</f>
        <v>NO</v>
      </c>
      <c r="Z5" s="43"/>
      <c r="AA5" s="43"/>
      <c r="AB5" s="43"/>
      <c r="AC5" s="43"/>
      <c r="AD5" s="43"/>
      <c r="AE5" s="43"/>
      <c r="AF5" s="43"/>
      <c r="AG5" s="43"/>
      <c r="AH5" s="43"/>
      <c r="AI5" s="43"/>
      <c r="AJ5" s="43"/>
      <c r="AK5" s="43"/>
      <c r="AL5" s="43"/>
      <c r="AM5" s="43"/>
      <c r="AN5" s="43"/>
      <c r="AO5" s="43"/>
      <c r="AP5" s="43"/>
      <c r="AQ5" s="43"/>
      <c r="AS5" s="44">
        <f t="shared" ref="AS5" si="4">IFERROR(VALUE(MID(P5,1,1)),0)</f>
        <v>3</v>
      </c>
      <c r="AT5" s="44">
        <f t="shared" ref="AT5" si="5">IFERROR(VALUE(MID(Q5,1,1)),0)</f>
        <v>3</v>
      </c>
      <c r="AU5" s="44">
        <f t="shared" ref="AU5" si="6">IFERROR(VALUE(MID(R5,1,1)),0)</f>
        <v>2</v>
      </c>
      <c r="AV5" s="44">
        <f t="shared" ref="AV5" si="7">IFERROR(VALUE(MID(S5,1,1)),0)</f>
        <v>3</v>
      </c>
      <c r="AW5" s="44">
        <f t="shared" ref="AW5" si="8">IFERROR(VALUE(MID(T5,1,1)),0)</f>
        <v>3</v>
      </c>
      <c r="AX5" s="44">
        <f t="shared" ref="AX5" si="9">MAX(AS5:AW5)</f>
        <v>3</v>
      </c>
      <c r="AY5" s="44">
        <f t="shared" ref="AY5:AY9" si="10">VALUE(MID(U5,1,1))</f>
        <v>2</v>
      </c>
      <c r="AZ5" s="44">
        <f>VALUE(MID(N5,1,1))</f>
        <v>2</v>
      </c>
      <c r="BA5" s="45">
        <f t="shared" ref="BA5" si="11">AX5*AY5</f>
        <v>6</v>
      </c>
      <c r="BB5" s="46">
        <f>BA5/AZ5</f>
        <v>3</v>
      </c>
      <c r="BD5" s="47">
        <f>_xlfn.IFS(H5="PREVENTIVO",'Escala Controles.'!$Q$5,H5="DETECTIVO",'Escala Controles.'!$Q$6,H5="SIN CONTROL",'Escala Controles.'!$Q$7)</f>
        <v>0.2</v>
      </c>
      <c r="BE5" s="47">
        <f>_xlfn.IFS(I5="TOTAL DE TRANSACCIONES/OPERACIONES",'Escala Controles.'!$Q$11,I5="PARCIAL (MUESTRAL)",'Escala Controles.'!$Q$12)</f>
        <v>0.05</v>
      </c>
      <c r="BF5" s="47">
        <f>_xlfn.IFS(J5="SI",'Escala Controles.'!$Q$20,J5="NO",'Escala Controles.'!$Q$21)</f>
        <v>0.15</v>
      </c>
      <c r="BG5" s="47">
        <f>_xlfn.IFS(K5="MANUAL",'Escala Controles.'!$Q$15,K5="SEMIAUTOMATICO",'Escala Controles.'!$Q$16,K5="AUTOMATICO",'Escala Controles.'!$Q$17)</f>
        <v>0.05</v>
      </c>
      <c r="BH5" s="47">
        <f>_xlfn.IFS(L5="NO FORMALIZADO",'Escala Controles.'!$Q$25,L5="FORMALIZADO",'Escala Controles.'!$Q$26,,'Escala Controles.'!$Q$27)</f>
        <v>0.1</v>
      </c>
      <c r="BI5" s="113">
        <f t="shared" ref="BI5" si="12">SUM(BD5:BH5)</f>
        <v>0.55000000000000004</v>
      </c>
    </row>
    <row r="6" spans="1:61" ht="70" x14ac:dyDescent="0.3">
      <c r="A6" s="130"/>
      <c r="B6" s="72"/>
      <c r="C6" s="38" t="s">
        <v>151</v>
      </c>
      <c r="D6" s="38" t="s">
        <v>31</v>
      </c>
      <c r="E6" s="38" t="s">
        <v>32</v>
      </c>
      <c r="F6" s="39" t="s">
        <v>501</v>
      </c>
      <c r="G6" s="39" t="s">
        <v>503</v>
      </c>
      <c r="H6" s="109" t="s">
        <v>241</v>
      </c>
      <c r="I6" s="39" t="s">
        <v>470</v>
      </c>
      <c r="J6" s="39" t="s">
        <v>245</v>
      </c>
      <c r="K6" s="39" t="s">
        <v>393</v>
      </c>
      <c r="L6" s="39" t="s">
        <v>469</v>
      </c>
      <c r="M6" s="114">
        <f>IF(H6="SIN CONTROL",0%,BI6)</f>
        <v>0</v>
      </c>
      <c r="N6" s="115" t="str">
        <f>IF(M6&lt;='Escala Controles.'!$J$2,"1 DEFICIENTE",IF(M6&lt;='Escala Controles.'!$J$3,"2 REGULAR",IF(M6&lt;='Escala Controles.'!$J$4,"3 SUFICIENTE",IF(M6&lt;='Escala Controles.'!$J$5,"4 BUENO","5 OPTIMO"))))</f>
        <v>1 DEFICIENTE</v>
      </c>
      <c r="O6" s="40" t="str">
        <f t="shared" ref="O6:O7" si="13">IF(OR(P6="",Q6="",R6="",S6="",T6=""),"completar impactos",IF(LEFT(P6,1)="5","Monetario",IF(LEFT(Q6,1)="5","Clientes",IF(LEFT(R6,1)="5","Reputacional",IF(LEFT(S6,1)="5","Normativo",IF(LEFT(T6,1)="5","Procesos",IF(LEFT(P6,1)="4","Monetario",IF(LEFT(Q6,1)="4","Clientes",IF(LEFT(R6,1)="4","Reputacional",IF(LEFT(S6,1)="4","Normativo",IF(LEFT(T6,1)="4","Procesos",IF(LEFT(P6,1)="3","Monetario",IF(LEFT(Q6,1)="3","Clientes",IF(LEFT(R6,1)="3","Reputacional",IF(LEFT(S6,1)="3","Normativo",IF(LEFT(T6,1)="3","Procesos",IF(LEFT(P6,1)="2","Monetario",IF(LEFT(Q6,1)="2","Clientes",IF(LEFT(R6,1)="2","Reputacional",IF(LEFT(S6,1)="2","Normativo",IF(LEFT(T6,1)="2","Procesos","Monetario")))))))))))))))))))))</f>
        <v>completar impactos</v>
      </c>
      <c r="P6" s="41"/>
      <c r="Q6" s="41"/>
      <c r="R6" s="41"/>
      <c r="S6" s="41"/>
      <c r="T6" s="41"/>
      <c r="U6" s="41"/>
      <c r="V6" s="42"/>
      <c r="W6" s="42"/>
      <c r="X6" s="42"/>
      <c r="Y6" s="42"/>
      <c r="Z6" s="43"/>
      <c r="AA6" s="43"/>
      <c r="AB6" s="43"/>
      <c r="AC6" s="43"/>
      <c r="AD6" s="43"/>
      <c r="AE6" s="43"/>
      <c r="AF6" s="43"/>
      <c r="AG6" s="43"/>
      <c r="AH6" s="43"/>
      <c r="AI6" s="43"/>
      <c r="AJ6" s="43"/>
      <c r="AK6" s="43"/>
      <c r="AL6" s="43"/>
      <c r="AM6" s="43"/>
      <c r="AN6" s="43"/>
      <c r="AO6" s="43"/>
      <c r="AP6" s="43"/>
      <c r="AQ6" s="43"/>
      <c r="AS6" s="44"/>
      <c r="AT6" s="44"/>
      <c r="AU6" s="44"/>
      <c r="AV6" s="44"/>
      <c r="AW6" s="44"/>
      <c r="AX6" s="44"/>
      <c r="AY6" s="44"/>
      <c r="AZ6" s="44"/>
      <c r="BA6" s="45"/>
      <c r="BB6" s="46"/>
      <c r="BD6" s="47"/>
      <c r="BE6" s="47"/>
      <c r="BF6" s="47"/>
      <c r="BG6" s="47"/>
      <c r="BH6" s="47"/>
      <c r="BI6" s="113"/>
    </row>
    <row r="7" spans="1:61" ht="70" x14ac:dyDescent="0.3">
      <c r="A7" s="130"/>
      <c r="B7" s="72"/>
      <c r="C7" s="38" t="s">
        <v>151</v>
      </c>
      <c r="D7" s="38" t="s">
        <v>31</v>
      </c>
      <c r="E7" s="38" t="s">
        <v>32</v>
      </c>
      <c r="F7" s="39" t="s">
        <v>502</v>
      </c>
      <c r="G7" s="39" t="s">
        <v>504</v>
      </c>
      <c r="H7" s="109"/>
      <c r="I7" s="39"/>
      <c r="J7" s="39"/>
      <c r="K7" s="39"/>
      <c r="L7" s="39"/>
      <c r="M7" s="114" t="e">
        <f t="shared" si="0"/>
        <v>#N/A</v>
      </c>
      <c r="N7" s="115" t="e">
        <f>IF(M7&lt;='Escala Controles.'!$J$2,"1 DEFICIENTE",IF(M7&lt;='Escala Controles.'!$J$3,"2 REGULAR",IF(M7&lt;='Escala Controles.'!$J$4,"3 SUFICIENTE",IF(M7&lt;='Escala Controles.'!$J$5,"4 BUENO","5 OPTIMO"))))</f>
        <v>#N/A</v>
      </c>
      <c r="O7" s="40" t="str">
        <f t="shared" si="13"/>
        <v>completar impactos</v>
      </c>
      <c r="P7" s="41"/>
      <c r="Q7" s="41"/>
      <c r="R7" s="41"/>
      <c r="S7" s="41"/>
      <c r="T7" s="41"/>
      <c r="U7" s="41"/>
      <c r="V7" s="42" t="e">
        <f>IF(AND(AX7=5,U7="1 Muy poco probable"),"Medio Alto",IF(BA7&lt;=2.99,"Bajo",IF(BA7&lt;=4.99,"Medio bajo",IF(BA7&lt;=9.99,"Medio",IF(BA7&lt;=14.99,"Medio alto","Alto")))))</f>
        <v>#VALUE!</v>
      </c>
      <c r="W7" s="42" t="e">
        <f>IF(N7="1 DEFICIENTE",V7,IF(AND(AX7=5,AY7=1,AZ7=3),"Medio Bajo",IF(AND(AX7=5,AY7=1,AZ7=2),"Medio",IF(AND(AX7=5,U7="1 Muy poco probable",N7="1 Deficiente"),"Medio Alto",IF(BB7&lt;2,"Bajo",IF(BB7&lt;4,"Medio bajo",IF(BB7&lt;6,"Medio",IF(BB7&lt;14,"Medio alto","Alto"))))))))</f>
        <v>#N/A</v>
      </c>
      <c r="X7" s="42" t="e">
        <f t="shared" ref="X7" si="14">IF(AND(OR(V7="Medio Alto",V7="Alto"),(OR(W7="Medio",W7="Medio Alto",W7="Alto"))),"SI","NO")</f>
        <v>#VALUE!</v>
      </c>
      <c r="Y7" s="42" t="e">
        <f t="shared" ref="Y7" si="15">IF(OR(W7="Medio Alto",W7="Alto"),"SI","NO")</f>
        <v>#N/A</v>
      </c>
      <c r="Z7" s="43"/>
      <c r="AA7" s="43"/>
      <c r="AB7" s="43"/>
      <c r="AC7" s="43"/>
      <c r="AD7" s="43"/>
      <c r="AE7" s="43"/>
      <c r="AF7" s="43"/>
      <c r="AG7" s="43"/>
      <c r="AH7" s="43"/>
      <c r="AI7" s="43"/>
      <c r="AJ7" s="43"/>
      <c r="AK7" s="43"/>
      <c r="AL7" s="43"/>
      <c r="AM7" s="43"/>
      <c r="AN7" s="43"/>
      <c r="AO7" s="43"/>
      <c r="AP7" s="43"/>
      <c r="AQ7" s="43"/>
      <c r="AS7" s="44">
        <f t="shared" ref="AS7" si="16">IFERROR(VALUE(MID(P7,1,1)),0)</f>
        <v>0</v>
      </c>
      <c r="AT7" s="44">
        <f t="shared" ref="AT7" si="17">IFERROR(VALUE(MID(Q7,1,1)),0)</f>
        <v>0</v>
      </c>
      <c r="AU7" s="44">
        <f t="shared" ref="AU7" si="18">IFERROR(VALUE(MID(R7,1,1)),0)</f>
        <v>0</v>
      </c>
      <c r="AV7" s="44">
        <f t="shared" ref="AV7" si="19">IFERROR(VALUE(MID(S7,1,1)),0)</f>
        <v>0</v>
      </c>
      <c r="AW7" s="44">
        <f t="shared" ref="AW7" si="20">IFERROR(VALUE(MID(T7,1,1)),0)</f>
        <v>0</v>
      </c>
      <c r="AX7" s="44">
        <f t="shared" ref="AX7" si="21">MAX(AS7:AW7)</f>
        <v>0</v>
      </c>
      <c r="AY7" s="44" t="e">
        <f t="shared" si="10"/>
        <v>#VALUE!</v>
      </c>
      <c r="AZ7" s="44" t="e">
        <f>VALUE(MID(N7,1,1))</f>
        <v>#N/A</v>
      </c>
      <c r="BA7" s="45" t="e">
        <f t="shared" ref="BA7" si="22">AX7*AY7</f>
        <v>#VALUE!</v>
      </c>
      <c r="BB7" s="46" t="e">
        <f>BA7/AZ7</f>
        <v>#VALUE!</v>
      </c>
      <c r="BD7" s="47" t="e">
        <f>_xlfn.IFS(H7="PREVENTIVO",'Escala Controles.'!$Q$5,H7="DETECTIVO",'Escala Controles.'!$Q$6,H7="SIN CONTROL",'Escala Controles.'!$Q$7)</f>
        <v>#N/A</v>
      </c>
      <c r="BE7" s="47" t="e">
        <f>_xlfn.IFS(I7="TOTAL DE TRANSACCIONES/OPERACIONES",'Escala Controles.'!$Q$11,I7="PARCIAL (MUESTRAL)",'Escala Controles.'!$Q$12)</f>
        <v>#N/A</v>
      </c>
      <c r="BF7" s="47" t="e">
        <f>_xlfn.IFS(J7="SI",'Escala Controles.'!$Q$20,J7="NO",'Escala Controles.'!$Q$21)</f>
        <v>#N/A</v>
      </c>
      <c r="BG7" s="47" t="e">
        <f>_xlfn.IFS(K7="MANUAL",'Escala Controles.'!$Q$15,K7="SEMIAUTOMATICO",'Escala Controles.'!$Q$16,K7="AUTOMATICO",'Escala Controles.'!$Q$17)</f>
        <v>#N/A</v>
      </c>
      <c r="BH7" s="47" t="e">
        <f>_xlfn.IFS(L7="NO FORMALIZADO",'Escala Controles.'!$Q$25,L7="FORMALIZADO",'Escala Controles.'!$Q$26,,'Escala Controles.'!$Q$27)</f>
        <v>#N/A</v>
      </c>
      <c r="BI7" s="113" t="e">
        <f t="shared" ref="BI7" si="23">SUM(BD7:BH7)</f>
        <v>#N/A</v>
      </c>
    </row>
    <row r="8" spans="1:61" ht="143.5" customHeight="1" x14ac:dyDescent="0.3">
      <c r="A8" s="130"/>
      <c r="B8" s="72"/>
      <c r="C8" s="38" t="s">
        <v>151</v>
      </c>
      <c r="D8" s="38" t="s">
        <v>31</v>
      </c>
      <c r="E8" s="38" t="s">
        <v>32</v>
      </c>
      <c r="F8" s="73" t="s">
        <v>500</v>
      </c>
      <c r="G8" s="73"/>
      <c r="H8" s="109" t="s">
        <v>250</v>
      </c>
      <c r="I8" s="39" t="s">
        <v>470</v>
      </c>
      <c r="J8" s="39" t="s">
        <v>245</v>
      </c>
      <c r="K8" s="39" t="s">
        <v>393</v>
      </c>
      <c r="L8" s="39" t="s">
        <v>469</v>
      </c>
      <c r="M8" s="114">
        <f t="shared" si="0"/>
        <v>0</v>
      </c>
      <c r="N8" s="115" t="str">
        <f>IF(M8&lt;='Escala Controles.'!$J$2,"1 DEFICIENTE",IF(M8&lt;='Escala Controles.'!$J$3,"2 REGULAR",IF(M8&lt;='Escala Controles.'!$J$4,"3 SUFICIENTE",IF(M8&lt;='Escala Controles.'!$J$5,"4 BUENO","5 OPTIMO"))))</f>
        <v>1 DEFICIENTE</v>
      </c>
      <c r="O8" s="40" t="str">
        <f t="shared" ref="O8:O9" si="24">IF(OR(P8="",Q8="",R8="",S8="",T8=""),"completar impactos",IF(LEFT(P8,1)="5","Monetario",IF(LEFT(Q8,1)="5","Clientes",IF(LEFT(R8,1)="5","Reputacional",IF(LEFT(S8,1)="5","Normativo",IF(LEFT(T8,1)="5","Procesos",IF(LEFT(P8,1)="4","Monetario",IF(LEFT(Q8,1)="4","Clientes",IF(LEFT(R8,1)="4","Reputacional",IF(LEFT(S8,1)="4","Normativo",IF(LEFT(T8,1)="4","Procesos",IF(LEFT(P8,1)="3","Monetario",IF(LEFT(Q8,1)="3","Clientes",IF(LEFT(R8,1)="3","Reputacional",IF(LEFT(S8,1)="3","Normativo",IF(LEFT(T8,1)="3","Procesos",IF(LEFT(P8,1)="2","Monetario",IF(LEFT(Q8,1)="2","Clientes",IF(LEFT(R8,1)="2","Reputacional",IF(LEFT(S8,1)="2","Normativo",IF(LEFT(T8,1)="2","Procesos","Monetario")))))))))))))))))))))</f>
        <v>Monetario</v>
      </c>
      <c r="P8" s="41" t="s">
        <v>498</v>
      </c>
      <c r="Q8" s="41" t="s">
        <v>281</v>
      </c>
      <c r="R8" s="41" t="s">
        <v>281</v>
      </c>
      <c r="S8" s="41" t="s">
        <v>498</v>
      </c>
      <c r="T8" s="41" t="s">
        <v>498</v>
      </c>
      <c r="U8" s="41" t="s">
        <v>499</v>
      </c>
      <c r="V8" s="42" t="str">
        <f>IF(AND(AX8=5,U8="1 Muy poco probable"),"Medio Alto",IF(BA8&lt;=2.99,"Bajo",IF(BA8&lt;=4.99,"Medio bajo",IF(BA8&lt;=9.99,"Medio",IF(BA8&lt;=14.99,"Medio alto","Alto")))))</f>
        <v>Medio alto</v>
      </c>
      <c r="W8" s="42" t="str">
        <f>IF(N8="1 DEFICIENTE",V8,IF(AND(AX8=5,AY8=1,AZ8=3),"Medio Bajo",IF(AND(AX8=5,AY8=1,AZ8=2),"Medio",IF(AND(AX8=5,U8="1 Muy poco probable",N8="1 Deficiente"),"Medio Alto",IF(BB8&lt;2,"Bajo",IF(BB8&lt;4,"Medio bajo",IF(BB8&lt;6,"Medio",IF(BB8&lt;14,"Medio alto","Alto"))))))))</f>
        <v>Medio alto</v>
      </c>
      <c r="X8" s="42" t="str">
        <f t="shared" ref="X8:X9" si="25">IF(AND(OR(V8="Medio Alto",V8="Alto"),(OR(W8="Medio",W8="Medio Alto",W8="Alto"))),"SI","NO")</f>
        <v>SI</v>
      </c>
      <c r="Y8" s="42" t="str">
        <f t="shared" ref="Y8:Y9" si="26">IF(OR(W8="Medio Alto",W8="Alto"),"SI","NO")</f>
        <v>SI</v>
      </c>
      <c r="Z8" s="43"/>
      <c r="AA8" s="43"/>
      <c r="AB8" s="43"/>
      <c r="AC8" s="43"/>
      <c r="AD8" s="43"/>
      <c r="AE8" s="43"/>
      <c r="AF8" s="43"/>
      <c r="AG8" s="43"/>
      <c r="AH8" s="43"/>
      <c r="AI8" s="43"/>
      <c r="AJ8" s="43"/>
      <c r="AK8" s="43"/>
      <c r="AL8" s="43"/>
      <c r="AM8" s="43"/>
      <c r="AN8" s="43"/>
      <c r="AO8" s="43"/>
      <c r="AP8" s="43"/>
      <c r="AQ8" s="43"/>
      <c r="AS8" s="44">
        <f t="shared" ref="AS8:AS9" si="27">IFERROR(VALUE(MID(P8,1,1)),0)</f>
        <v>4</v>
      </c>
      <c r="AT8" s="44">
        <f t="shared" ref="AT8:AT9" si="28">IFERROR(VALUE(MID(Q8,1,1)),0)</f>
        <v>3</v>
      </c>
      <c r="AU8" s="44">
        <f t="shared" ref="AU8:AU9" si="29">IFERROR(VALUE(MID(R8,1,1)),0)</f>
        <v>3</v>
      </c>
      <c r="AV8" s="44">
        <f t="shared" ref="AV8:AV9" si="30">IFERROR(VALUE(MID(S8,1,1)),0)</f>
        <v>4</v>
      </c>
      <c r="AW8" s="44">
        <f t="shared" ref="AW8:AW9" si="31">IFERROR(VALUE(MID(T8,1,1)),0)</f>
        <v>4</v>
      </c>
      <c r="AX8" s="44">
        <f t="shared" ref="AX8:AX9" si="32">MAX(AS8:AW8)</f>
        <v>4</v>
      </c>
      <c r="AY8" s="44">
        <f t="shared" si="10"/>
        <v>3</v>
      </c>
      <c r="AZ8" s="44">
        <f>VALUE(MID(N8,1,1))</f>
        <v>1</v>
      </c>
      <c r="BA8" s="45">
        <f t="shared" ref="BA8:BA9" si="33">AX8*AY8</f>
        <v>12</v>
      </c>
      <c r="BB8" s="46">
        <f>BA8/AZ8</f>
        <v>12</v>
      </c>
      <c r="BD8" s="47">
        <f>_xlfn.IFS(H8="PREVENTIVO",'Escala Controles.'!$Q$5,H8="DETECTIVO",'Escala Controles.'!$Q$6,H8="SIN CONTROL",'Escala Controles.'!$Q$7)</f>
        <v>0</v>
      </c>
      <c r="BE8" s="47">
        <f>_xlfn.IFS(I8="TOTAL DE TRANSACCIONES/OPERACIONES",'Escala Controles.'!$Q$11,I8="PARCIAL (MUESTRAL)",'Escala Controles.'!$Q$12)</f>
        <v>0.2</v>
      </c>
      <c r="BF8" s="47">
        <f>_xlfn.IFS(J8="SI",'Escala Controles.'!$Q$20,J8="NO",'Escala Controles.'!$Q$21)</f>
        <v>0</v>
      </c>
      <c r="BG8" s="47">
        <f>_xlfn.IFS(K8="MANUAL",'Escala Controles.'!$Q$15,K8="SEMIAUTOMATICO",'Escala Controles.'!$Q$16,K8="AUTOMATICO",'Escala Controles.'!$Q$17)</f>
        <v>0.05</v>
      </c>
      <c r="BH8" s="47">
        <f>_xlfn.IFS(L8="NO FORMALIZADO",'Escala Controles.'!$Q$25,L8="FORMALIZADO",'Escala Controles.'!$Q$26,,'Escala Controles.'!$Q$27)</f>
        <v>0.1</v>
      </c>
      <c r="BI8" s="113">
        <f t="shared" ref="BI8:BI9" si="34">SUM(BD8:BH8)</f>
        <v>0.35</v>
      </c>
    </row>
    <row r="9" spans="1:61" ht="143.5" customHeight="1" x14ac:dyDescent="0.3">
      <c r="A9" s="130"/>
      <c r="B9" s="72"/>
      <c r="C9" s="38" t="s">
        <v>151</v>
      </c>
      <c r="D9" s="38" t="s">
        <v>31</v>
      </c>
      <c r="E9" s="38" t="s">
        <v>32</v>
      </c>
      <c r="F9" s="73" t="s">
        <v>500</v>
      </c>
      <c r="G9" s="73"/>
      <c r="H9" s="109" t="s">
        <v>241</v>
      </c>
      <c r="I9" s="39" t="s">
        <v>470</v>
      </c>
      <c r="J9" s="39" t="s">
        <v>244</v>
      </c>
      <c r="K9" s="39" t="s">
        <v>393</v>
      </c>
      <c r="L9" s="39" t="s">
        <v>469</v>
      </c>
      <c r="M9" s="114">
        <f t="shared" si="0"/>
        <v>0.85000000000000009</v>
      </c>
      <c r="N9" s="115" t="str">
        <f>IF(M9&lt;='Escala Controles.'!$J$2,"1 DEFICIENTE",IF(M9&lt;='Escala Controles.'!$J$3,"2 REGULAR",IF(M9&lt;='Escala Controles.'!$J$4,"3 SUFICIENTE",IF(M9&lt;='Escala Controles.'!$J$5,"4 BUENO","5 OPTIMO"))))</f>
        <v>4 BUENO</v>
      </c>
      <c r="O9" s="40" t="str">
        <f t="shared" si="24"/>
        <v>Monetario</v>
      </c>
      <c r="P9" s="41" t="s">
        <v>498</v>
      </c>
      <c r="Q9" s="41" t="s">
        <v>281</v>
      </c>
      <c r="R9" s="41" t="s">
        <v>281</v>
      </c>
      <c r="S9" s="41" t="s">
        <v>498</v>
      </c>
      <c r="T9" s="41" t="s">
        <v>498</v>
      </c>
      <c r="U9" s="41" t="s">
        <v>35</v>
      </c>
      <c r="V9" s="42" t="str">
        <f>IF(AND(AX9=5,U9="1 Muy poco probable"),"Medio Alto",IF(BA9&lt;=2.99,"Bajo",IF(BA9&lt;=4.99,"Medio bajo",IF(BA9&lt;=9.99,"Medio",IF(BA9&lt;=14.99,"Medio alto","Alto")))))</f>
        <v>Medio</v>
      </c>
      <c r="W9" s="42" t="str">
        <f>IF(N9="1 DEFICIENTE",V9,IF(AND(AX9=5,AY9=1,AZ9=3),"Medio Bajo",IF(AND(AX9=5,AY9=1,AZ9=2),"Medio",IF(AND(AX9=5,U9="1 Muy poco probable",N9="1 Deficiente"),"Medio Alto",IF(BB9&lt;2,"Bajo",IF(BB9&lt;4,"Medio bajo",IF(BB9&lt;6,"Medio",IF(BB9&lt;14,"Medio alto","Alto"))))))))</f>
        <v>Medio bajo</v>
      </c>
      <c r="X9" s="42" t="str">
        <f t="shared" si="25"/>
        <v>NO</v>
      </c>
      <c r="Y9" s="42" t="str">
        <f t="shared" si="26"/>
        <v>NO</v>
      </c>
      <c r="Z9" s="43"/>
      <c r="AA9" s="43"/>
      <c r="AB9" s="43"/>
      <c r="AC9" s="43"/>
      <c r="AD9" s="43"/>
      <c r="AE9" s="43"/>
      <c r="AF9" s="43"/>
      <c r="AG9" s="43"/>
      <c r="AH9" s="43"/>
      <c r="AI9" s="43"/>
      <c r="AJ9" s="43"/>
      <c r="AK9" s="43"/>
      <c r="AL9" s="43"/>
      <c r="AM9" s="43"/>
      <c r="AN9" s="43"/>
      <c r="AO9" s="43"/>
      <c r="AP9" s="43"/>
      <c r="AQ9" s="43"/>
      <c r="AS9" s="44">
        <f t="shared" si="27"/>
        <v>4</v>
      </c>
      <c r="AT9" s="44">
        <f t="shared" si="28"/>
        <v>3</v>
      </c>
      <c r="AU9" s="44">
        <f t="shared" si="29"/>
        <v>3</v>
      </c>
      <c r="AV9" s="44">
        <f t="shared" si="30"/>
        <v>4</v>
      </c>
      <c r="AW9" s="44">
        <f t="shared" si="31"/>
        <v>4</v>
      </c>
      <c r="AX9" s="44">
        <f t="shared" si="32"/>
        <v>4</v>
      </c>
      <c r="AY9" s="44">
        <f t="shared" si="10"/>
        <v>2</v>
      </c>
      <c r="AZ9" s="44">
        <f>VALUE(MID(N9,1,1))</f>
        <v>4</v>
      </c>
      <c r="BA9" s="45">
        <f t="shared" si="33"/>
        <v>8</v>
      </c>
      <c r="BB9" s="46">
        <f>BA9/AZ9</f>
        <v>2</v>
      </c>
      <c r="BD9" s="47">
        <f>_xlfn.IFS(H9="PREVENTIVO",'Escala Controles.'!$Q$5,H9="DETECTIVO",'Escala Controles.'!$Q$6,H9="SIN CONTROL",'Escala Controles.'!$Q$7)</f>
        <v>0.35</v>
      </c>
      <c r="BE9" s="47">
        <f>_xlfn.IFS(I9="TOTAL DE TRANSACCIONES/OPERACIONES",'Escala Controles.'!$Q$11,I9="PARCIAL (MUESTRAL)",'Escala Controles.'!$Q$12)</f>
        <v>0.2</v>
      </c>
      <c r="BF9" s="47">
        <f>_xlfn.IFS(J9="SI",'Escala Controles.'!$Q$20,J9="NO",'Escala Controles.'!$Q$21)</f>
        <v>0.15</v>
      </c>
      <c r="BG9" s="47">
        <f>_xlfn.IFS(K9="MANUAL",'Escala Controles.'!$Q$15,K9="SEMIAUTOMATICO",'Escala Controles.'!$Q$16,K9="AUTOMATICO",'Escala Controles.'!$Q$17)</f>
        <v>0.05</v>
      </c>
      <c r="BH9" s="47">
        <f>_xlfn.IFS(L9="NO FORMALIZADO",'Escala Controles.'!$Q$25,L9="FORMALIZADO",'Escala Controles.'!$Q$26,,'Escala Controles.'!$Q$27)</f>
        <v>0.1</v>
      </c>
      <c r="BI9" s="113">
        <f t="shared" si="34"/>
        <v>0.85000000000000009</v>
      </c>
    </row>
    <row r="10" spans="1:61" ht="143.5" customHeight="1" x14ac:dyDescent="0.3">
      <c r="A10" s="130" t="s">
        <v>512</v>
      </c>
      <c r="B10" s="72"/>
      <c r="C10" s="38" t="s">
        <v>151</v>
      </c>
      <c r="D10" s="38" t="s">
        <v>31</v>
      </c>
      <c r="E10" s="38" t="s">
        <v>32</v>
      </c>
      <c r="F10" s="39" t="s">
        <v>501</v>
      </c>
      <c r="G10" s="39" t="s">
        <v>503</v>
      </c>
      <c r="H10" s="109" t="s">
        <v>241</v>
      </c>
      <c r="I10" s="39" t="s">
        <v>470</v>
      </c>
      <c r="J10" s="39" t="s">
        <v>244</v>
      </c>
      <c r="K10" s="39" t="s">
        <v>393</v>
      </c>
      <c r="L10" s="39" t="s">
        <v>469</v>
      </c>
      <c r="M10" s="114">
        <f t="shared" ref="M10" si="35">IF(H10="SIN CONTROL",0%,BI10)</f>
        <v>0.85000000000000009</v>
      </c>
      <c r="N10" s="115" t="str">
        <f>IF(M10&lt;='Escala Controles.'!$J$2,"1 DEFICIENTE",IF(M10&lt;='Escala Controles.'!$J$3,"2 REGULAR",IF(M10&lt;='Escala Controles.'!$J$4,"3 SUFICIENTE",IF(M10&lt;='Escala Controles.'!$J$5,"4 BUENO","5 OPTIMO"))))</f>
        <v>4 BUENO</v>
      </c>
      <c r="O10" s="40" t="str">
        <f t="shared" ref="O10" si="36">IF(OR(P10="",Q10="",R10="",S10="",T10=""),"completar impactos",IF(LEFT(P10,1)="5","Monetario",IF(LEFT(Q10,1)="5","Clientes",IF(LEFT(R10,1)="5","Reputacional",IF(LEFT(S10,1)="5","Normativo",IF(LEFT(T10,1)="5","Procesos",IF(LEFT(P10,1)="4","Monetario",IF(LEFT(Q10,1)="4","Clientes",IF(LEFT(R10,1)="4","Reputacional",IF(LEFT(S10,1)="4","Normativo",IF(LEFT(T10,1)="4","Procesos",IF(LEFT(P10,1)="3","Monetario",IF(LEFT(Q10,1)="3","Clientes",IF(LEFT(R10,1)="3","Reputacional",IF(LEFT(S10,1)="3","Normativo",IF(LEFT(T10,1)="3","Procesos",IF(LEFT(P10,1)="2","Monetario",IF(LEFT(Q10,1)="2","Clientes",IF(LEFT(R10,1)="2","Reputacional",IF(LEFT(S10,1)="2","Normativo",IF(LEFT(T10,1)="2","Procesos","Monetario")))))))))))))))))))))</f>
        <v>Clientes</v>
      </c>
      <c r="P10" s="41" t="s">
        <v>281</v>
      </c>
      <c r="Q10" s="41" t="s">
        <v>498</v>
      </c>
      <c r="R10" s="41" t="s">
        <v>281</v>
      </c>
      <c r="S10" s="41" t="s">
        <v>281</v>
      </c>
      <c r="T10" s="41" t="s">
        <v>281</v>
      </c>
      <c r="U10" s="41" t="s">
        <v>35</v>
      </c>
      <c r="V10" s="42" t="str">
        <f>IF(AND(AX10=5,U10="1 Muy poco probable"),"Medio Alto",IF(BA10&lt;=2.99,"Bajo",IF(BA10&lt;=4.99,"Medio bajo",IF(BA10&lt;=9.99,"Medio",IF(BA10&lt;=14.99,"Medio alto","Alto")))))</f>
        <v>Medio</v>
      </c>
      <c r="W10" s="42" t="str">
        <f>IF(N10="1 DEFICIENTE",V10,IF(AND(AX10=5,AY10=1,AZ10=3),"Medio Bajo",IF(AND(AX10=5,AY10=1,AZ10=2),"Medio",IF(AND(AX10=5,U10="1 Muy poco probable",N10="1 Deficiente"),"Medio Alto",IF(BB10&lt;2,"Bajo",IF(BB10&lt;4,"Medio bajo",IF(BB10&lt;6,"Medio",IF(BB10&lt;14,"Medio alto","Alto"))))))))</f>
        <v>Medio bajo</v>
      </c>
      <c r="X10" s="42" t="str">
        <f t="shared" ref="X10" si="37">IF(AND(OR(V10="Medio Alto",V10="Alto"),(OR(W10="Medio",W10="Medio Alto",W10="Alto"))),"SI","NO")</f>
        <v>NO</v>
      </c>
      <c r="Y10" s="42" t="str">
        <f t="shared" ref="Y10" si="38">IF(OR(W10="Medio Alto",W10="Alto"),"SI","NO")</f>
        <v>NO</v>
      </c>
      <c r="Z10" s="43"/>
      <c r="AA10" s="43"/>
      <c r="AB10" s="43"/>
      <c r="AC10" s="43"/>
      <c r="AD10" s="43"/>
      <c r="AE10" s="43"/>
      <c r="AF10" s="43"/>
      <c r="AG10" s="43"/>
      <c r="AH10" s="43"/>
      <c r="AI10" s="43"/>
      <c r="AJ10" s="43"/>
      <c r="AK10" s="43"/>
      <c r="AL10" s="43"/>
      <c r="AM10" s="43"/>
      <c r="AN10" s="43"/>
      <c r="AO10" s="43"/>
      <c r="AP10" s="43"/>
      <c r="AQ10" s="43"/>
      <c r="AS10" s="44">
        <f t="shared" ref="AS10" si="39">IFERROR(VALUE(MID(P10,1,1)),0)</f>
        <v>3</v>
      </c>
      <c r="AT10" s="44">
        <f t="shared" ref="AT10" si="40">IFERROR(VALUE(MID(Q10,1,1)),0)</f>
        <v>4</v>
      </c>
      <c r="AU10" s="44">
        <f t="shared" ref="AU10" si="41">IFERROR(VALUE(MID(R10,1,1)),0)</f>
        <v>3</v>
      </c>
      <c r="AV10" s="44">
        <f t="shared" ref="AV10" si="42">IFERROR(VALUE(MID(S10,1,1)),0)</f>
        <v>3</v>
      </c>
      <c r="AW10" s="44">
        <f t="shared" ref="AW10" si="43">IFERROR(VALUE(MID(T10,1,1)),0)</f>
        <v>3</v>
      </c>
      <c r="AX10" s="44">
        <f t="shared" ref="AX10" si="44">MAX(AS10:AW10)</f>
        <v>4</v>
      </c>
      <c r="AY10" s="44">
        <f t="shared" ref="AY10" si="45">VALUE(MID(U10,1,1))</f>
        <v>2</v>
      </c>
      <c r="AZ10" s="44">
        <f>VALUE(MID(N10,1,1))</f>
        <v>4</v>
      </c>
      <c r="BA10" s="45">
        <f t="shared" ref="BA10" si="46">AX10*AY10</f>
        <v>8</v>
      </c>
      <c r="BB10" s="46">
        <f>BA10/AZ10</f>
        <v>2</v>
      </c>
      <c r="BD10" s="47">
        <f>_xlfn.IFS(H10="PREVENTIVO",'Escala Controles.'!$Q$5,H10="DETECTIVO",'Escala Controles.'!$Q$6,H10="SIN CONTROL",'Escala Controles.'!$Q$7)</f>
        <v>0.35</v>
      </c>
      <c r="BE10" s="47">
        <f>_xlfn.IFS(I10="TOTAL DE TRANSACCIONES/OPERACIONES",'Escala Controles.'!$Q$11,I10="PARCIAL (MUESTRAL)",'Escala Controles.'!$Q$12)</f>
        <v>0.2</v>
      </c>
      <c r="BF10" s="47">
        <f>_xlfn.IFS(J10="SI",'Escala Controles.'!$Q$20,J10="NO",'Escala Controles.'!$Q$21)</f>
        <v>0.15</v>
      </c>
      <c r="BG10" s="47">
        <f>_xlfn.IFS(K10="MANUAL",'Escala Controles.'!$Q$15,K10="SEMIAUTOMATICO",'Escala Controles.'!$Q$16,K10="AUTOMATICO",'Escala Controles.'!$Q$17)</f>
        <v>0.05</v>
      </c>
      <c r="BH10" s="47">
        <f>_xlfn.IFS(L10="NO FORMALIZADO",'Escala Controles.'!$Q$25,L10="FORMALIZADO",'Escala Controles.'!$Q$26,,'Escala Controles.'!$Q$27)</f>
        <v>0.1</v>
      </c>
      <c r="BI10" s="113">
        <f t="shared" ref="BI10" si="47">SUM(BD10:BH10)</f>
        <v>0.85000000000000009</v>
      </c>
    </row>
    <row r="11" spans="1:61" ht="143.5" customHeight="1" x14ac:dyDescent="0.3">
      <c r="A11" s="130" t="s">
        <v>515</v>
      </c>
      <c r="B11" s="72"/>
      <c r="C11" s="38" t="s">
        <v>151</v>
      </c>
      <c r="D11" s="38" t="s">
        <v>31</v>
      </c>
      <c r="E11" s="38" t="s">
        <v>32</v>
      </c>
      <c r="F11" s="39" t="s">
        <v>513</v>
      </c>
      <c r="G11" s="39" t="s">
        <v>514</v>
      </c>
      <c r="H11" s="109" t="s">
        <v>241</v>
      </c>
      <c r="I11" s="39" t="s">
        <v>470</v>
      </c>
      <c r="J11" s="39" t="s">
        <v>244</v>
      </c>
      <c r="K11" s="39" t="s">
        <v>393</v>
      </c>
      <c r="L11" s="39" t="s">
        <v>469</v>
      </c>
      <c r="M11" s="114">
        <f t="shared" ref="M11" si="48">IF(H11="SIN CONTROL",0%,BI11)</f>
        <v>0.85000000000000009</v>
      </c>
      <c r="N11" s="115" t="str">
        <f>IF(M11&lt;='Escala Controles.'!$J$2,"1 DEFICIENTE",IF(M11&lt;='Escala Controles.'!$J$3,"2 REGULAR",IF(M11&lt;='Escala Controles.'!$J$4,"3 SUFICIENTE",IF(M11&lt;='Escala Controles.'!$J$5,"4 BUENO","5 OPTIMO"))))</f>
        <v>4 BUENO</v>
      </c>
      <c r="O11" s="40" t="str">
        <f t="shared" ref="O11" si="49">IF(OR(P11="",Q11="",R11="",S11="",T11=""),"completar impactos",IF(LEFT(P11,1)="5","Monetario",IF(LEFT(Q11,1)="5","Clientes",IF(LEFT(R11,1)="5","Reputacional",IF(LEFT(S11,1)="5","Normativo",IF(LEFT(T11,1)="5","Procesos",IF(LEFT(P11,1)="4","Monetario",IF(LEFT(Q11,1)="4","Clientes",IF(LEFT(R11,1)="4","Reputacional",IF(LEFT(S11,1)="4","Normativo",IF(LEFT(T11,1)="4","Procesos",IF(LEFT(P11,1)="3","Monetario",IF(LEFT(Q11,1)="3","Clientes",IF(LEFT(R11,1)="3","Reputacional",IF(LEFT(S11,1)="3","Normativo",IF(LEFT(T11,1)="3","Procesos",IF(LEFT(P11,1)="2","Monetario",IF(LEFT(Q11,1)="2","Clientes",IF(LEFT(R11,1)="2","Reputacional",IF(LEFT(S11,1)="2","Normativo",IF(LEFT(T11,1)="2","Procesos","Monetario")))))))))))))))))))))</f>
        <v>Monetario</v>
      </c>
      <c r="P11" s="41" t="s">
        <v>281</v>
      </c>
      <c r="Q11" s="41" t="s">
        <v>281</v>
      </c>
      <c r="R11" s="41" t="s">
        <v>281</v>
      </c>
      <c r="S11" s="41" t="s">
        <v>281</v>
      </c>
      <c r="T11" s="41" t="s">
        <v>281</v>
      </c>
      <c r="U11" s="41" t="s">
        <v>35</v>
      </c>
      <c r="V11" s="42" t="str">
        <f>IF(AND(AX11=5,U11="1 Muy poco probable"),"Medio Alto",IF(BA11&lt;=2.99,"Bajo",IF(BA11&lt;=4.99,"Medio bajo",IF(BA11&lt;=9.99,"Medio",IF(BA11&lt;=14.99,"Medio alto","Alto")))))</f>
        <v>Medio</v>
      </c>
      <c r="W11" s="42" t="str">
        <f>IF(N11="1 DEFICIENTE",V11,IF(AND(AX11=5,AY11=1,AZ11=3),"Medio Bajo",IF(AND(AX11=5,AY11=1,AZ11=2),"Medio",IF(AND(AX11=5,U11="1 Muy poco probable",N11="1 Deficiente"),"Medio Alto",IF(BB11&lt;2,"Bajo",IF(BB11&lt;4,"Medio bajo",IF(BB11&lt;6,"Medio",IF(BB11&lt;14,"Medio alto","Alto"))))))))</f>
        <v>Bajo</v>
      </c>
      <c r="X11" s="42" t="str">
        <f t="shared" ref="X11" si="50">IF(AND(OR(V11="Medio Alto",V11="Alto"),(OR(W11="Medio",W11="Medio Alto",W11="Alto"))),"SI","NO")</f>
        <v>NO</v>
      </c>
      <c r="Y11" s="42" t="str">
        <f t="shared" ref="Y11" si="51">IF(OR(W11="Medio Alto",W11="Alto"),"SI","NO")</f>
        <v>NO</v>
      </c>
      <c r="Z11" s="43"/>
      <c r="AA11" s="43"/>
      <c r="AB11" s="43"/>
      <c r="AC11" s="43"/>
      <c r="AD11" s="43"/>
      <c r="AE11" s="43"/>
      <c r="AF11" s="43"/>
      <c r="AG11" s="43"/>
      <c r="AH11" s="43"/>
      <c r="AI11" s="43"/>
      <c r="AJ11" s="43"/>
      <c r="AK11" s="43"/>
      <c r="AL11" s="43"/>
      <c r="AM11" s="43"/>
      <c r="AN11" s="43"/>
      <c r="AO11" s="43"/>
      <c r="AP11" s="43"/>
      <c r="AQ11" s="43"/>
      <c r="AS11" s="44">
        <f t="shared" ref="AS11:AS14" si="52">IFERROR(VALUE(MID(P11,1,1)),0)</f>
        <v>3</v>
      </c>
      <c r="AT11" s="44">
        <f t="shared" ref="AT11:AT14" si="53">IFERROR(VALUE(MID(Q11,1,1)),0)</f>
        <v>3</v>
      </c>
      <c r="AU11" s="44">
        <f t="shared" ref="AU11:AU14" si="54">IFERROR(VALUE(MID(R11,1,1)),0)</f>
        <v>3</v>
      </c>
      <c r="AV11" s="44">
        <f t="shared" ref="AV11:AV14" si="55">IFERROR(VALUE(MID(S11,1,1)),0)</f>
        <v>3</v>
      </c>
      <c r="AW11" s="44">
        <f t="shared" ref="AW11:AW14" si="56">IFERROR(VALUE(MID(T11,1,1)),0)</f>
        <v>3</v>
      </c>
      <c r="AX11" s="44">
        <f t="shared" ref="AX11:AX14" si="57">MAX(AS11:AW11)</f>
        <v>3</v>
      </c>
      <c r="AY11" s="44">
        <f t="shared" ref="AY11:AY14" si="58">VALUE(MID(U11,1,1))</f>
        <v>2</v>
      </c>
      <c r="AZ11" s="44">
        <f>VALUE(MID(N11,1,1))</f>
        <v>4</v>
      </c>
      <c r="BA11" s="45">
        <f t="shared" ref="BA11:BA14" si="59">AX11*AY11</f>
        <v>6</v>
      </c>
      <c r="BB11" s="46">
        <f>BA11/AZ11</f>
        <v>1.5</v>
      </c>
      <c r="BD11" s="47">
        <f>_xlfn.IFS(H11="PREVENTIVO",'Escala Controles.'!$Q$5,H11="DETECTIVO",'Escala Controles.'!$Q$6,H11="SIN CONTROL",'Escala Controles.'!$Q$7)</f>
        <v>0.35</v>
      </c>
      <c r="BE11" s="47">
        <f>_xlfn.IFS(I11="TOTAL DE TRANSACCIONES/OPERACIONES",'Escala Controles.'!$Q$11,I11="PARCIAL (MUESTRAL)",'Escala Controles.'!$Q$12)</f>
        <v>0.2</v>
      </c>
      <c r="BF11" s="47">
        <f>_xlfn.IFS(J11="SI",'Escala Controles.'!$Q$20,J11="NO",'Escala Controles.'!$Q$21)</f>
        <v>0.15</v>
      </c>
      <c r="BG11" s="47">
        <f>_xlfn.IFS(K11="MANUAL",'Escala Controles.'!$Q$15,K11="SEMIAUTOMATICO",'Escala Controles.'!$Q$16,K11="AUTOMATICO",'Escala Controles.'!$Q$17)</f>
        <v>0.05</v>
      </c>
      <c r="BH11" s="47">
        <f>_xlfn.IFS(L11="NO FORMALIZADO",'Escala Controles.'!$Q$25,L11="FORMALIZADO",'Escala Controles.'!$Q$26,,'Escala Controles.'!$Q$27)</f>
        <v>0.1</v>
      </c>
      <c r="BI11" s="113">
        <f t="shared" ref="BI11" si="60">SUM(BD11:BH11)</f>
        <v>0.85000000000000009</v>
      </c>
    </row>
    <row r="12" spans="1:61" ht="42" x14ac:dyDescent="0.3">
      <c r="A12" s="130"/>
      <c r="B12" s="72"/>
      <c r="C12" s="38" t="s">
        <v>151</v>
      </c>
      <c r="D12" s="38" t="s">
        <v>31</v>
      </c>
      <c r="E12" s="38" t="s">
        <v>32</v>
      </c>
      <c r="F12" s="39" t="s">
        <v>506</v>
      </c>
      <c r="G12" s="39" t="s">
        <v>505</v>
      </c>
      <c r="H12" s="109" t="s">
        <v>250</v>
      </c>
      <c r="I12" s="39" t="s">
        <v>470</v>
      </c>
      <c r="J12" s="39" t="s">
        <v>244</v>
      </c>
      <c r="K12" s="39" t="s">
        <v>393</v>
      </c>
      <c r="L12" s="39" t="s">
        <v>469</v>
      </c>
      <c r="M12" s="114">
        <f t="shared" ref="M12" si="61">IF(H12="SIN CONTROL",0%,BI12)</f>
        <v>0</v>
      </c>
      <c r="N12" s="115" t="str">
        <f>IF(M12&lt;='Escala Controles.'!$J$2,"1 DEFICIENTE",IF(M12&lt;='Escala Controles.'!$J$3,"2 REGULAR",IF(M12&lt;='Escala Controles.'!$J$4,"3 SUFICIENTE",IF(M12&lt;='Escala Controles.'!$J$5,"4 BUENO","5 OPTIMO"))))</f>
        <v>1 DEFICIENTE</v>
      </c>
      <c r="O12" s="40"/>
      <c r="P12" s="41" t="s">
        <v>280</v>
      </c>
      <c r="Q12" s="41" t="s">
        <v>280</v>
      </c>
      <c r="R12" s="41" t="s">
        <v>280</v>
      </c>
      <c r="S12" s="41" t="s">
        <v>281</v>
      </c>
      <c r="T12" s="41" t="s">
        <v>498</v>
      </c>
      <c r="U12" s="41" t="s">
        <v>499</v>
      </c>
      <c r="V12" s="42" t="str">
        <f t="shared" ref="V12:V13" si="62">IF(AND(AX12=5,U12="1 Muy poco probable"),"Medio Alto",IF(BA12&lt;=2.99,"Bajo",IF(BA12&lt;=4.99,"Medio bajo",IF(BA12&lt;=9.99,"Medio",IF(BA12&lt;=14.99,"Medio alto","Alto")))))</f>
        <v>Medio alto</v>
      </c>
      <c r="W12" s="42" t="str">
        <f t="shared" ref="W12:W13" si="63">IF(N12="1 DEFICIENTE",V12,IF(AND(AX12=5,AY12=1,AZ12=3),"Medio Bajo",IF(AND(AX12=5,AY12=1,AZ12=2),"Medio",IF(AND(AX12=5,U12="1 Muy poco probable",N12="1 Deficiente"),"Medio Alto",IF(BB12&lt;2,"Bajo",IF(BB12&lt;4,"Medio bajo",IF(BB12&lt;6,"Medio",IF(BB12&lt;14,"Medio alto","Alto"))))))))</f>
        <v>Medio alto</v>
      </c>
      <c r="X12" s="42"/>
      <c r="Y12" s="42"/>
      <c r="Z12" s="43"/>
      <c r="AA12" s="43"/>
      <c r="AB12" s="43"/>
      <c r="AC12" s="43"/>
      <c r="AD12" s="43"/>
      <c r="AE12" s="43"/>
      <c r="AF12" s="43"/>
      <c r="AG12" s="43"/>
      <c r="AH12" s="43"/>
      <c r="AI12" s="43"/>
      <c r="AJ12" s="43"/>
      <c r="AK12" s="43"/>
      <c r="AL12" s="43"/>
      <c r="AM12" s="43"/>
      <c r="AN12" s="43"/>
      <c r="AO12" s="43"/>
      <c r="AP12" s="43"/>
      <c r="AQ12" s="43"/>
      <c r="AS12" s="44">
        <f t="shared" si="52"/>
        <v>2</v>
      </c>
      <c r="AT12" s="44">
        <f t="shared" si="53"/>
        <v>2</v>
      </c>
      <c r="AU12" s="44">
        <f t="shared" si="54"/>
        <v>2</v>
      </c>
      <c r="AV12" s="44">
        <f t="shared" si="55"/>
        <v>3</v>
      </c>
      <c r="AW12" s="44">
        <f t="shared" si="56"/>
        <v>4</v>
      </c>
      <c r="AX12" s="44">
        <f t="shared" si="57"/>
        <v>4</v>
      </c>
      <c r="AY12" s="44">
        <f t="shared" si="58"/>
        <v>3</v>
      </c>
      <c r="AZ12" s="44"/>
      <c r="BA12" s="45">
        <f t="shared" si="59"/>
        <v>12</v>
      </c>
      <c r="BB12" s="46"/>
      <c r="BD12" s="47"/>
      <c r="BE12" s="47"/>
      <c r="BF12" s="47"/>
      <c r="BG12" s="47"/>
      <c r="BH12" s="47"/>
      <c r="BI12" s="113"/>
    </row>
    <row r="13" spans="1:61" ht="70" x14ac:dyDescent="0.3">
      <c r="A13" s="130"/>
      <c r="B13" s="72"/>
      <c r="C13" s="38" t="s">
        <v>151</v>
      </c>
      <c r="D13" s="38" t="s">
        <v>31</v>
      </c>
      <c r="E13" s="38" t="s">
        <v>32</v>
      </c>
      <c r="F13" s="39" t="s">
        <v>507</v>
      </c>
      <c r="G13" s="39" t="s">
        <v>505</v>
      </c>
      <c r="H13" s="109" t="s">
        <v>250</v>
      </c>
      <c r="I13" s="39" t="s">
        <v>470</v>
      </c>
      <c r="J13" s="39" t="s">
        <v>244</v>
      </c>
      <c r="K13" s="39" t="s">
        <v>393</v>
      </c>
      <c r="L13" s="39" t="s">
        <v>469</v>
      </c>
      <c r="M13" s="114">
        <f t="shared" ref="M13:M14" si="64">IF(H13="SIN CONTROL",0%,BI13)</f>
        <v>0</v>
      </c>
      <c r="N13" s="115" t="str">
        <f>IF(M13&lt;='Escala Controles.'!$J$2,"1 DEFICIENTE",IF(M13&lt;='Escala Controles.'!$J$3,"2 REGULAR",IF(M13&lt;='Escala Controles.'!$J$4,"3 SUFICIENTE",IF(M13&lt;='Escala Controles.'!$J$5,"4 BUENO","5 OPTIMO"))))</f>
        <v>1 DEFICIENTE</v>
      </c>
      <c r="O13" s="40"/>
      <c r="P13" s="41" t="s">
        <v>508</v>
      </c>
      <c r="Q13" s="41" t="s">
        <v>508</v>
      </c>
      <c r="R13" s="41" t="s">
        <v>508</v>
      </c>
      <c r="S13" s="41" t="s">
        <v>508</v>
      </c>
      <c r="T13" s="41" t="s">
        <v>281</v>
      </c>
      <c r="U13" s="41" t="s">
        <v>35</v>
      </c>
      <c r="V13" s="42" t="str">
        <f t="shared" si="62"/>
        <v>Medio</v>
      </c>
      <c r="W13" s="42" t="str">
        <f t="shared" si="63"/>
        <v>Medio</v>
      </c>
      <c r="X13" s="42"/>
      <c r="Y13" s="42"/>
      <c r="Z13" s="43"/>
      <c r="AA13" s="43"/>
      <c r="AB13" s="43"/>
      <c r="AC13" s="43"/>
      <c r="AD13" s="43"/>
      <c r="AE13" s="43"/>
      <c r="AF13" s="43"/>
      <c r="AG13" s="43"/>
      <c r="AH13" s="43"/>
      <c r="AI13" s="43"/>
      <c r="AJ13" s="43"/>
      <c r="AK13" s="43"/>
      <c r="AL13" s="43"/>
      <c r="AM13" s="43"/>
      <c r="AN13" s="43"/>
      <c r="AO13" s="43"/>
      <c r="AP13" s="43"/>
      <c r="AQ13" s="43"/>
      <c r="AS13" s="44">
        <f t="shared" si="52"/>
        <v>1</v>
      </c>
      <c r="AT13" s="44">
        <f t="shared" si="53"/>
        <v>1</v>
      </c>
      <c r="AU13" s="44">
        <f t="shared" si="54"/>
        <v>1</v>
      </c>
      <c r="AV13" s="44">
        <f t="shared" si="55"/>
        <v>1</v>
      </c>
      <c r="AW13" s="44">
        <f t="shared" si="56"/>
        <v>3</v>
      </c>
      <c r="AX13" s="44">
        <f t="shared" si="57"/>
        <v>3</v>
      </c>
      <c r="AY13" s="44">
        <f t="shared" si="58"/>
        <v>2</v>
      </c>
      <c r="AZ13" s="44"/>
      <c r="BA13" s="45">
        <f t="shared" si="59"/>
        <v>6</v>
      </c>
      <c r="BB13" s="46"/>
      <c r="BD13" s="47"/>
      <c r="BE13" s="47"/>
      <c r="BF13" s="47"/>
      <c r="BG13" s="47"/>
      <c r="BH13" s="47"/>
      <c r="BI13" s="113"/>
    </row>
    <row r="14" spans="1:61" ht="137" customHeight="1" x14ac:dyDescent="0.3">
      <c r="A14" s="130"/>
      <c r="B14" s="72"/>
      <c r="C14" s="38" t="s">
        <v>151</v>
      </c>
      <c r="D14" s="38" t="s">
        <v>31</v>
      </c>
      <c r="E14" s="38" t="s">
        <v>32</v>
      </c>
      <c r="F14" s="39" t="s">
        <v>511</v>
      </c>
      <c r="G14" s="39" t="s">
        <v>516</v>
      </c>
      <c r="H14" s="109" t="s">
        <v>376</v>
      </c>
      <c r="I14" s="39" t="s">
        <v>470</v>
      </c>
      <c r="J14" s="39" t="s">
        <v>244</v>
      </c>
      <c r="K14" s="39" t="s">
        <v>393</v>
      </c>
      <c r="L14" s="39" t="s">
        <v>469</v>
      </c>
      <c r="M14" s="114">
        <f t="shared" si="64"/>
        <v>0.70000000000000007</v>
      </c>
      <c r="N14" s="115" t="str">
        <f>IF(M14&lt;='Escala Controles.'!$J$2,"1 DEFICIENTE",IF(M14&lt;='Escala Controles.'!$J$3,"2 REGULAR",IF(M14&lt;='Escala Controles.'!$J$4,"3 SUFICIENTE",IF(M14&lt;='Escala Controles.'!$J$5,"4 BUENO","5 OPTIMO"))))</f>
        <v>3 SUFICIENTE</v>
      </c>
      <c r="O14" s="40" t="str">
        <f t="shared" ref="O14" si="65">IF(OR(P14="",Q14="",R14="",S14="",T14=""),"completar impactos",IF(LEFT(P14,1)="5","Monetario",IF(LEFT(Q14,1)="5","Clientes",IF(LEFT(R14,1)="5","Reputacional",IF(LEFT(S14,1)="5","Normativo",IF(LEFT(T14,1)="5","Procesos",IF(LEFT(P14,1)="4","Monetario",IF(LEFT(Q14,1)="4","Clientes",IF(LEFT(R14,1)="4","Reputacional",IF(LEFT(S14,1)="4","Normativo",IF(LEFT(T14,1)="4","Procesos",IF(LEFT(P14,1)="3","Monetario",IF(LEFT(Q14,1)="3","Clientes",IF(LEFT(R14,1)="3","Reputacional",IF(LEFT(S14,1)="3","Normativo",IF(LEFT(T14,1)="3","Procesos",IF(LEFT(P14,1)="2","Monetario",IF(LEFT(Q14,1)="2","Clientes",IF(LEFT(R14,1)="2","Reputacional",IF(LEFT(S14,1)="2","Normativo",IF(LEFT(T14,1)="2","Procesos","Monetario")))))))))))))))))))))</f>
        <v>Monetario</v>
      </c>
      <c r="P14" s="41" t="s">
        <v>281</v>
      </c>
      <c r="Q14" s="41" t="s">
        <v>281</v>
      </c>
      <c r="R14" s="41" t="s">
        <v>280</v>
      </c>
      <c r="S14" s="41" t="s">
        <v>281</v>
      </c>
      <c r="T14" s="41" t="s">
        <v>281</v>
      </c>
      <c r="U14" s="41" t="s">
        <v>35</v>
      </c>
      <c r="V14" s="42" t="str">
        <f>IF(AND(AX14=5,U14="1 Muy poco probable"),"Medio Alto",IF(BA14&lt;=2.99,"Bajo",IF(BA14&lt;=4.99,"Medio bajo",IF(BA14&lt;=9.99,"Medio",IF(BA14&lt;=14.99,"Medio alto","Alto")))))</f>
        <v>Medio</v>
      </c>
      <c r="W14" s="42" t="str">
        <f>IF(N14="1 DEFICIENTE",V14,IF(AND(AX14=5,AY14=1,AZ14=3),"Medio Bajo",IF(AND(AX14=5,AY14=1,AZ14=2),"Medio",IF(AND(AX14=5,U14="1 Muy poco probable",N14="1 Deficiente"),"Medio Alto",IF(BB14&lt;2,"Bajo",IF(BB14&lt;4,"Medio bajo",IF(BB14&lt;6,"Medio",IF(BB14&lt;14,"Medio alto","Alto"))))))))</f>
        <v>Medio bajo</v>
      </c>
      <c r="X14" s="42" t="str">
        <f t="shared" ref="X14" si="66">IF(AND(OR(V14="Medio Alto",V14="Alto"),(OR(W14="Medio",W14="Medio Alto",W14="Alto"))),"SI","NO")</f>
        <v>NO</v>
      </c>
      <c r="Y14" s="42" t="str">
        <f t="shared" ref="Y14" si="67">IF(OR(W14="Medio Alto",W14="Alto"),"SI","NO")</f>
        <v>NO</v>
      </c>
      <c r="Z14" s="43"/>
      <c r="AA14" s="43"/>
      <c r="AB14" s="43"/>
      <c r="AC14" s="43"/>
      <c r="AD14" s="43"/>
      <c r="AE14" s="43"/>
      <c r="AF14" s="43"/>
      <c r="AG14" s="43"/>
      <c r="AH14" s="43"/>
      <c r="AI14" s="43"/>
      <c r="AJ14" s="43"/>
      <c r="AK14" s="43"/>
      <c r="AL14" s="43"/>
      <c r="AM14" s="43"/>
      <c r="AN14" s="43"/>
      <c r="AO14" s="43"/>
      <c r="AP14" s="43"/>
      <c r="AQ14" s="43"/>
      <c r="AS14" s="44">
        <f t="shared" si="52"/>
        <v>3</v>
      </c>
      <c r="AT14" s="44">
        <f t="shared" si="53"/>
        <v>3</v>
      </c>
      <c r="AU14" s="44">
        <f t="shared" si="54"/>
        <v>2</v>
      </c>
      <c r="AV14" s="44">
        <f t="shared" si="55"/>
        <v>3</v>
      </c>
      <c r="AW14" s="44">
        <f t="shared" si="56"/>
        <v>3</v>
      </c>
      <c r="AX14" s="44">
        <f t="shared" si="57"/>
        <v>3</v>
      </c>
      <c r="AY14" s="44">
        <f t="shared" si="58"/>
        <v>2</v>
      </c>
      <c r="AZ14" s="44">
        <f>VALUE(MID(N14,1,1))</f>
        <v>3</v>
      </c>
      <c r="BA14" s="45">
        <f t="shared" si="59"/>
        <v>6</v>
      </c>
      <c r="BB14" s="46">
        <f>BA14/AZ14</f>
        <v>2</v>
      </c>
      <c r="BD14" s="47">
        <f>_xlfn.IFS(H14="PREVENTIVO",'Escala Controles.'!$Q$5,H14="DETECTIVO",'Escala Controles.'!$Q$6,H14="SIN CONTROL",'Escala Controles.'!$Q$7)</f>
        <v>0.2</v>
      </c>
      <c r="BE14" s="47">
        <f>_xlfn.IFS(I14="TOTAL DE TRANSACCIONES/OPERACIONES",'Escala Controles.'!$Q$11,I14="PARCIAL (MUESTRAL)",'Escala Controles.'!$Q$12)</f>
        <v>0.2</v>
      </c>
      <c r="BF14" s="47">
        <f>_xlfn.IFS(J14="SI",'Escala Controles.'!$Q$20,J14="NO",'Escala Controles.'!$Q$21)</f>
        <v>0.15</v>
      </c>
      <c r="BG14" s="47">
        <f>_xlfn.IFS(K14="MANUAL",'Escala Controles.'!$Q$15,K14="SEMIAUTOMATICO",'Escala Controles.'!$Q$16,K14="AUTOMATICO",'Escala Controles.'!$Q$17)</f>
        <v>0.05</v>
      </c>
      <c r="BH14" s="47">
        <f>_xlfn.IFS(L14="NO FORMALIZADO",'Escala Controles.'!$Q$25,L14="FORMALIZADO",'Escala Controles.'!$Q$26,,'Escala Controles.'!$Q$27)</f>
        <v>0.1</v>
      </c>
      <c r="BI14" s="113">
        <f t="shared" ref="BI14" si="68">SUM(BD14:BH14)</f>
        <v>0.70000000000000007</v>
      </c>
    </row>
    <row r="15" spans="1:61" ht="91" customHeight="1" x14ac:dyDescent="0.3">
      <c r="A15" s="130"/>
      <c r="B15" s="72"/>
      <c r="C15" s="38" t="s">
        <v>151</v>
      </c>
      <c r="D15" s="38" t="s">
        <v>31</v>
      </c>
      <c r="E15" s="38" t="s">
        <v>32</v>
      </c>
      <c r="F15" s="39" t="s">
        <v>509</v>
      </c>
      <c r="G15" s="39" t="s">
        <v>510</v>
      </c>
      <c r="H15" s="109" t="s">
        <v>376</v>
      </c>
      <c r="I15" s="39" t="s">
        <v>471</v>
      </c>
      <c r="J15" s="39" t="s">
        <v>245</v>
      </c>
      <c r="K15" s="39" t="s">
        <v>393</v>
      </c>
      <c r="L15" s="39" t="s">
        <v>468</v>
      </c>
      <c r="M15" s="114">
        <f t="shared" ref="M15" si="69">IF(H15="SIN CONTROL",0%,BI15)</f>
        <v>0</v>
      </c>
      <c r="N15" s="115" t="str">
        <f>IF(M15&lt;='Escala Controles.'!$J$2,"1 DEFICIENTE",IF(M15&lt;='Escala Controles.'!$J$3,"2 REGULAR",IF(M15&lt;='Escala Controles.'!$J$4,"3 SUFICIENTE",IF(M15&lt;='Escala Controles.'!$J$5,"4 BUENO","5 OPTIMO"))))</f>
        <v>1 DEFICIENTE</v>
      </c>
      <c r="O15" s="40"/>
      <c r="P15" s="41" t="s">
        <v>281</v>
      </c>
      <c r="Q15" s="41" t="s">
        <v>508</v>
      </c>
      <c r="R15" s="41" t="s">
        <v>508</v>
      </c>
      <c r="S15" s="41" t="s">
        <v>498</v>
      </c>
      <c r="T15" s="41" t="s">
        <v>281</v>
      </c>
      <c r="U15" s="41" t="s">
        <v>499</v>
      </c>
      <c r="V15" s="42" t="str">
        <f t="shared" ref="V15" si="70">IF(AND(AX15=5,U15="1 Muy poco probable"),"Medio Alto",IF(BA15&lt;=2.99,"Bajo",IF(BA15&lt;=4.99,"Medio bajo",IF(BA15&lt;=9.99,"Medio",IF(BA15&lt;=14.99,"Medio alto","Alto")))))</f>
        <v>Medio alto</v>
      </c>
      <c r="W15" s="42" t="str">
        <f t="shared" ref="W15" si="71">IF(N15="1 DEFICIENTE",V15,IF(AND(AX15=5,AY15=1,AZ15=3),"Medio Bajo",IF(AND(AX15=5,AY15=1,AZ15=2),"Medio",IF(AND(AX15=5,U15="1 Muy poco probable",N15="1 Deficiente"),"Medio Alto",IF(BB15&lt;2,"Bajo",IF(BB15&lt;4,"Medio bajo",IF(BB15&lt;6,"Medio",IF(BB15&lt;14,"Medio alto","Alto"))))))))</f>
        <v>Medio alto</v>
      </c>
      <c r="X15" s="42"/>
      <c r="Y15" s="42"/>
      <c r="Z15" s="43"/>
      <c r="AA15" s="43"/>
      <c r="AB15" s="43"/>
      <c r="AC15" s="43"/>
      <c r="AD15" s="43"/>
      <c r="AE15" s="43"/>
      <c r="AF15" s="43"/>
      <c r="AG15" s="43"/>
      <c r="AH15" s="43"/>
      <c r="AI15" s="43"/>
      <c r="AJ15" s="43"/>
      <c r="AK15" s="43"/>
      <c r="AL15" s="43"/>
      <c r="AM15" s="43"/>
      <c r="AN15" s="43"/>
      <c r="AO15" s="43"/>
      <c r="AP15" s="43"/>
      <c r="AQ15" s="43"/>
      <c r="AS15" s="44">
        <f t="shared" ref="AS15" si="72">IFERROR(VALUE(MID(P15,1,1)),0)</f>
        <v>3</v>
      </c>
      <c r="AT15" s="44">
        <f t="shared" ref="AT15" si="73">IFERROR(VALUE(MID(Q15,1,1)),0)</f>
        <v>1</v>
      </c>
      <c r="AU15" s="44">
        <f t="shared" ref="AU15" si="74">IFERROR(VALUE(MID(R15,1,1)),0)</f>
        <v>1</v>
      </c>
      <c r="AV15" s="44">
        <f t="shared" ref="AV15" si="75">IFERROR(VALUE(MID(S15,1,1)),0)</f>
        <v>4</v>
      </c>
      <c r="AW15" s="44">
        <f t="shared" ref="AW15" si="76">IFERROR(VALUE(MID(T15,1,1)),0)</f>
        <v>3</v>
      </c>
      <c r="AX15" s="44">
        <f t="shared" ref="AX15" si="77">MAX(AS15:AW15)</f>
        <v>4</v>
      </c>
      <c r="AY15" s="44">
        <f t="shared" ref="AY15" si="78">VALUE(MID(U15,1,1))</f>
        <v>3</v>
      </c>
      <c r="AZ15" s="44"/>
      <c r="BA15" s="45">
        <f t="shared" ref="BA15" si="79">AX15*AY15</f>
        <v>12</v>
      </c>
      <c r="BB15" s="46"/>
      <c r="BD15" s="47"/>
      <c r="BE15" s="47"/>
      <c r="BF15" s="47"/>
      <c r="BG15" s="47"/>
      <c r="BH15" s="47"/>
      <c r="BI15" s="113"/>
    </row>
    <row r="16" spans="1:61" x14ac:dyDescent="0.3">
      <c r="G16" s="148"/>
    </row>
    <row r="17" spans="2:21" x14ac:dyDescent="0.3">
      <c r="B17" s="198" t="s">
        <v>51</v>
      </c>
      <c r="C17" s="199"/>
      <c r="D17" s="199"/>
      <c r="E17" s="199"/>
      <c r="F17" s="199"/>
      <c r="G17" s="199"/>
      <c r="H17" s="199"/>
      <c r="I17" s="199"/>
      <c r="J17" s="199"/>
      <c r="K17" s="199"/>
      <c r="L17" s="199"/>
      <c r="M17" s="199"/>
      <c r="N17" s="199"/>
      <c r="O17" s="200"/>
    </row>
    <row r="18" spans="2:21" x14ac:dyDescent="0.3">
      <c r="B18" s="23" t="s">
        <v>52</v>
      </c>
      <c r="C18" s="187" t="s">
        <v>53</v>
      </c>
      <c r="D18" s="188"/>
      <c r="E18" s="188"/>
      <c r="F18" s="188"/>
      <c r="G18" s="188"/>
      <c r="H18" s="188"/>
      <c r="I18" s="188"/>
      <c r="J18" s="188"/>
      <c r="K18" s="188"/>
      <c r="L18" s="188"/>
      <c r="M18" s="188"/>
      <c r="N18" s="188"/>
      <c r="O18" s="189"/>
    </row>
    <row r="19" spans="2:21" x14ac:dyDescent="0.3">
      <c r="B19" s="48"/>
      <c r="C19" s="190"/>
      <c r="D19" s="191"/>
      <c r="E19" s="191"/>
      <c r="F19" s="191"/>
      <c r="G19" s="191"/>
      <c r="H19" s="191"/>
      <c r="I19" s="191"/>
      <c r="J19" s="191"/>
      <c r="K19" s="191"/>
      <c r="L19" s="191"/>
      <c r="M19" s="191"/>
      <c r="N19" s="191"/>
      <c r="O19" s="192"/>
    </row>
    <row r="20" spans="2:21" x14ac:dyDescent="0.3">
      <c r="B20" s="93"/>
      <c r="C20" s="94"/>
      <c r="D20" s="94"/>
      <c r="E20" s="94"/>
      <c r="F20" s="95"/>
      <c r="G20" s="92"/>
      <c r="H20" s="95"/>
      <c r="I20" s="95"/>
      <c r="J20" s="95"/>
      <c r="K20" s="95"/>
      <c r="L20" s="95"/>
      <c r="M20" s="95"/>
      <c r="N20" s="95"/>
      <c r="O20" s="95"/>
      <c r="P20" s="50"/>
      <c r="Q20" s="50"/>
      <c r="R20" s="50"/>
      <c r="S20" s="50"/>
      <c r="T20" s="50"/>
      <c r="U20" s="50"/>
    </row>
    <row r="21" spans="2:21" x14ac:dyDescent="0.3">
      <c r="B21" s="74"/>
      <c r="C21" s="183" t="s">
        <v>0</v>
      </c>
      <c r="D21" s="183"/>
      <c r="E21" s="183"/>
      <c r="F21" s="82" t="s">
        <v>54</v>
      </c>
      <c r="G21" s="83"/>
      <c r="H21" s="82"/>
      <c r="I21" s="82"/>
      <c r="J21" s="82"/>
      <c r="K21" s="82"/>
      <c r="L21" s="82"/>
      <c r="M21" s="82"/>
      <c r="N21" s="82"/>
      <c r="O21" s="51"/>
      <c r="P21" s="197" t="s">
        <v>55</v>
      </c>
      <c r="Q21" s="197"/>
      <c r="R21" s="197"/>
      <c r="S21" s="197"/>
      <c r="T21" s="184"/>
      <c r="U21" s="184"/>
    </row>
    <row r="22" spans="2:21" x14ac:dyDescent="0.3">
      <c r="B22" s="74" t="s">
        <v>56</v>
      </c>
      <c r="C22" s="175"/>
      <c r="D22" s="176"/>
      <c r="E22" s="177"/>
      <c r="F22" s="86"/>
      <c r="G22" s="87"/>
      <c r="H22" s="87"/>
      <c r="I22" s="87"/>
      <c r="J22" s="87"/>
      <c r="K22" s="87"/>
      <c r="L22" s="87"/>
      <c r="M22" s="87"/>
      <c r="N22" s="87"/>
      <c r="O22" s="52"/>
      <c r="P22" s="169"/>
      <c r="Q22" s="170"/>
      <c r="R22" s="170"/>
      <c r="S22" s="171"/>
      <c r="T22" s="179"/>
      <c r="U22" s="179"/>
    </row>
    <row r="23" spans="2:21" x14ac:dyDescent="0.3">
      <c r="B23" s="74"/>
      <c r="F23" s="75"/>
      <c r="G23" s="75"/>
      <c r="H23" s="75"/>
      <c r="I23" s="75"/>
      <c r="J23" s="75"/>
      <c r="K23" s="75"/>
      <c r="L23" s="75"/>
      <c r="M23" s="75"/>
      <c r="N23" s="75"/>
      <c r="O23" s="50"/>
      <c r="P23" s="50"/>
      <c r="Q23" s="50"/>
      <c r="R23" s="50"/>
      <c r="S23" s="50"/>
      <c r="T23" s="50"/>
      <c r="U23" s="50"/>
    </row>
    <row r="24" spans="2:21" x14ac:dyDescent="0.3">
      <c r="B24" s="74" t="s">
        <v>57</v>
      </c>
      <c r="C24" s="175"/>
      <c r="D24" s="176"/>
      <c r="E24" s="177"/>
      <c r="F24" s="84"/>
      <c r="G24" s="87"/>
      <c r="H24" s="87"/>
      <c r="I24" s="87"/>
      <c r="J24" s="87"/>
      <c r="K24" s="87"/>
      <c r="L24" s="87"/>
      <c r="M24" s="87"/>
      <c r="N24" s="87"/>
      <c r="O24" s="53"/>
      <c r="P24" s="172"/>
      <c r="Q24" s="173"/>
      <c r="R24" s="173"/>
      <c r="S24" s="174"/>
      <c r="T24" s="179"/>
      <c r="U24" s="179"/>
    </row>
    <row r="25" spans="2:21" x14ac:dyDescent="0.3">
      <c r="B25" s="75"/>
      <c r="C25" s="175"/>
      <c r="D25" s="176"/>
      <c r="E25" s="177"/>
      <c r="F25" s="84"/>
      <c r="G25" s="87"/>
      <c r="H25" s="87"/>
      <c r="I25" s="87"/>
      <c r="J25" s="87"/>
      <c r="K25" s="87"/>
      <c r="L25" s="87"/>
      <c r="M25" s="87"/>
      <c r="N25" s="87"/>
      <c r="O25" s="53"/>
      <c r="P25" s="172"/>
      <c r="Q25" s="173"/>
      <c r="R25" s="173"/>
      <c r="S25" s="174"/>
      <c r="T25" s="179"/>
      <c r="U25" s="179"/>
    </row>
    <row r="26" spans="2:21" x14ac:dyDescent="0.3">
      <c r="B26" s="75"/>
      <c r="C26" s="175"/>
      <c r="D26" s="176"/>
      <c r="E26" s="177"/>
      <c r="F26" s="84"/>
      <c r="G26" s="85"/>
      <c r="H26" s="85"/>
      <c r="I26" s="85"/>
      <c r="J26" s="85"/>
      <c r="K26" s="85"/>
      <c r="L26" s="85"/>
      <c r="M26" s="85"/>
      <c r="N26" s="85"/>
      <c r="O26" s="53"/>
      <c r="P26" s="172"/>
      <c r="Q26" s="173"/>
      <c r="R26" s="173"/>
      <c r="S26" s="174"/>
      <c r="T26" s="49"/>
      <c r="U26" s="49"/>
    </row>
    <row r="27" spans="2:21" x14ac:dyDescent="0.3">
      <c r="B27" s="75"/>
      <c r="C27" s="175"/>
      <c r="D27" s="176"/>
      <c r="E27" s="177"/>
      <c r="F27" s="84"/>
      <c r="G27" s="85"/>
      <c r="H27" s="85"/>
      <c r="I27" s="85"/>
      <c r="J27" s="85"/>
      <c r="K27" s="85"/>
      <c r="L27" s="85"/>
      <c r="M27" s="85"/>
      <c r="N27" s="85"/>
      <c r="O27" s="53"/>
      <c r="P27" s="172"/>
      <c r="Q27" s="173"/>
      <c r="R27" s="173"/>
      <c r="S27" s="174"/>
      <c r="T27" s="49"/>
      <c r="U27" s="49"/>
    </row>
    <row r="28" spans="2:21" x14ac:dyDescent="0.3">
      <c r="B28" s="75"/>
      <c r="C28" s="178"/>
      <c r="D28" s="178"/>
      <c r="E28" s="178"/>
      <c r="F28" s="84"/>
      <c r="G28" s="85"/>
      <c r="H28" s="85"/>
      <c r="I28" s="85"/>
      <c r="J28" s="85"/>
      <c r="K28" s="85"/>
      <c r="L28" s="85"/>
      <c r="M28" s="85"/>
      <c r="N28" s="85"/>
      <c r="O28" s="53"/>
      <c r="P28" s="80"/>
      <c r="Q28" s="53"/>
      <c r="R28" s="53"/>
      <c r="S28" s="81"/>
      <c r="T28" s="49"/>
      <c r="U28" s="49"/>
    </row>
    <row r="29" spans="2:21" x14ac:dyDescent="0.3">
      <c r="B29" s="75"/>
      <c r="C29" s="178"/>
      <c r="D29" s="178"/>
      <c r="E29" s="178"/>
      <c r="F29" s="84"/>
      <c r="G29" s="85"/>
      <c r="H29" s="85"/>
      <c r="I29" s="85"/>
      <c r="J29" s="85"/>
      <c r="K29" s="85"/>
      <c r="L29" s="85"/>
      <c r="M29" s="85"/>
      <c r="N29" s="85"/>
      <c r="O29" s="53"/>
      <c r="P29" s="80"/>
      <c r="Q29" s="53"/>
      <c r="R29" s="53"/>
      <c r="S29" s="81"/>
      <c r="T29" s="49"/>
      <c r="U29" s="49"/>
    </row>
    <row r="30" spans="2:21" x14ac:dyDescent="0.3">
      <c r="B30" s="75"/>
      <c r="C30" s="178"/>
      <c r="D30" s="178"/>
      <c r="E30" s="178"/>
      <c r="F30" s="84"/>
      <c r="G30" s="85"/>
      <c r="H30" s="85"/>
      <c r="I30" s="85"/>
      <c r="J30" s="85"/>
      <c r="K30" s="85"/>
      <c r="L30" s="85"/>
      <c r="M30" s="85"/>
      <c r="N30" s="85"/>
      <c r="O30" s="53"/>
      <c r="P30" s="80"/>
      <c r="Q30" s="53"/>
      <c r="R30" s="53"/>
      <c r="S30" s="81"/>
      <c r="T30" s="49"/>
      <c r="U30" s="49"/>
    </row>
    <row r="31" spans="2:21" x14ac:dyDescent="0.3">
      <c r="B31" s="76"/>
      <c r="C31" s="168"/>
      <c r="D31" s="168"/>
      <c r="E31" s="168"/>
      <c r="F31" s="86"/>
      <c r="G31" s="87"/>
      <c r="H31" s="87"/>
      <c r="I31" s="87"/>
      <c r="J31" s="87"/>
      <c r="K31" s="87"/>
      <c r="L31" s="87"/>
      <c r="M31" s="87"/>
      <c r="N31" s="87"/>
      <c r="O31" s="53"/>
      <c r="P31" s="169"/>
      <c r="Q31" s="170"/>
      <c r="R31" s="170"/>
      <c r="S31" s="171"/>
    </row>
    <row r="33" spans="1:19" ht="14.25" customHeight="1" x14ac:dyDescent="0.3">
      <c r="A33" s="167" t="s">
        <v>58</v>
      </c>
      <c r="B33" s="167"/>
      <c r="C33" s="167"/>
      <c r="D33" s="167"/>
      <c r="E33" s="167"/>
      <c r="F33" s="167"/>
      <c r="G33" s="167"/>
      <c r="H33" s="167"/>
      <c r="I33" s="167"/>
      <c r="J33" s="167"/>
      <c r="K33" s="167"/>
      <c r="L33" s="167"/>
      <c r="M33" s="167"/>
      <c r="N33" s="167"/>
      <c r="O33" s="167"/>
      <c r="P33" s="167"/>
      <c r="Q33" s="167"/>
      <c r="R33" s="167"/>
      <c r="S33" s="167"/>
    </row>
    <row r="34" spans="1:19" x14ac:dyDescent="0.3">
      <c r="A34" s="167"/>
      <c r="B34" s="167"/>
      <c r="C34" s="167"/>
      <c r="D34" s="167"/>
      <c r="E34" s="167"/>
      <c r="F34" s="167"/>
      <c r="G34" s="167"/>
      <c r="H34" s="167"/>
      <c r="I34" s="167"/>
      <c r="J34" s="167"/>
      <c r="K34" s="167"/>
      <c r="L34" s="167"/>
      <c r="M34" s="167"/>
      <c r="N34" s="167"/>
      <c r="O34" s="167"/>
      <c r="P34" s="167"/>
      <c r="Q34" s="167"/>
      <c r="R34" s="167"/>
      <c r="S34" s="167"/>
    </row>
    <row r="35" spans="1:19" x14ac:dyDescent="0.3">
      <c r="A35" s="167"/>
      <c r="B35" s="167"/>
      <c r="C35" s="167"/>
      <c r="D35" s="167"/>
      <c r="E35" s="167"/>
      <c r="F35" s="167"/>
      <c r="G35" s="167"/>
      <c r="H35" s="167"/>
      <c r="I35" s="167"/>
      <c r="J35" s="167"/>
      <c r="K35" s="167"/>
      <c r="L35" s="167"/>
      <c r="M35" s="167"/>
      <c r="N35" s="167"/>
      <c r="O35" s="167"/>
      <c r="P35" s="167"/>
      <c r="Q35" s="167"/>
      <c r="R35" s="167"/>
      <c r="S35" s="167"/>
    </row>
    <row r="36" spans="1:19" x14ac:dyDescent="0.3">
      <c r="A36" s="167"/>
      <c r="B36" s="167"/>
      <c r="C36" s="167"/>
      <c r="D36" s="167"/>
      <c r="E36" s="167"/>
      <c r="F36" s="167"/>
      <c r="G36" s="167"/>
      <c r="H36" s="167"/>
      <c r="I36" s="167"/>
      <c r="J36" s="167"/>
      <c r="K36" s="167"/>
      <c r="L36" s="167"/>
      <c r="M36" s="167"/>
      <c r="N36" s="167"/>
      <c r="O36" s="167"/>
      <c r="P36" s="167"/>
      <c r="Q36" s="167"/>
      <c r="R36" s="167"/>
      <c r="S36" s="167"/>
    </row>
    <row r="37" spans="1:19" x14ac:dyDescent="0.3">
      <c r="A37" s="167"/>
      <c r="B37" s="167"/>
      <c r="C37" s="167"/>
      <c r="D37" s="167"/>
      <c r="E37" s="167"/>
      <c r="F37" s="167"/>
      <c r="G37" s="167"/>
      <c r="H37" s="167"/>
      <c r="I37" s="167"/>
      <c r="J37" s="167"/>
      <c r="K37" s="167"/>
      <c r="L37" s="167"/>
      <c r="M37" s="167"/>
      <c r="N37" s="167"/>
      <c r="O37" s="167"/>
      <c r="P37" s="167"/>
      <c r="Q37" s="167"/>
      <c r="R37" s="167"/>
      <c r="S37" s="167"/>
    </row>
    <row r="38" spans="1:19" x14ac:dyDescent="0.3">
      <c r="A38" s="167"/>
      <c r="B38" s="167"/>
      <c r="C38" s="167"/>
      <c r="D38" s="167"/>
      <c r="E38" s="167"/>
      <c r="F38" s="167"/>
      <c r="G38" s="167"/>
      <c r="H38" s="167"/>
      <c r="I38" s="167"/>
      <c r="J38" s="167"/>
      <c r="K38" s="167"/>
      <c r="L38" s="167"/>
      <c r="M38" s="167"/>
      <c r="N38" s="167"/>
      <c r="O38" s="167"/>
      <c r="P38" s="167"/>
      <c r="Q38" s="167"/>
      <c r="R38" s="167"/>
      <c r="S38" s="167"/>
    </row>
    <row r="41" spans="1:19" ht="28" x14ac:dyDescent="0.3">
      <c r="B41" s="54"/>
      <c r="C41" s="55" t="s">
        <v>59</v>
      </c>
      <c r="D41" s="56" t="s">
        <v>60</v>
      </c>
      <c r="E41" s="57" t="s">
        <v>61</v>
      </c>
      <c r="F41" s="58" t="s">
        <v>62</v>
      </c>
      <c r="G41" s="59" t="s">
        <v>63</v>
      </c>
      <c r="H41" s="59"/>
      <c r="I41" s="59"/>
      <c r="J41" s="59"/>
      <c r="K41" s="59"/>
      <c r="L41" s="59"/>
      <c r="M41" s="59"/>
      <c r="N41" s="59"/>
      <c r="O41" s="60" t="s">
        <v>64</v>
      </c>
    </row>
    <row r="42" spans="1:19" ht="28" x14ac:dyDescent="0.3">
      <c r="B42" s="61" t="s">
        <v>18</v>
      </c>
      <c r="C42" s="55">
        <f>COUNTIF($V$5:$V$102,"Bajo")</f>
        <v>0</v>
      </c>
      <c r="D42" s="56">
        <f>COUNTIF($V$5:$V$102,"Medio Bajo")</f>
        <v>0</v>
      </c>
      <c r="E42" s="57">
        <f>COUNTIF($V$5:$V$102,"Medio")</f>
        <v>6</v>
      </c>
      <c r="F42" s="58">
        <f>COUNTIF($V$5:$V$102,"Medio Alto")</f>
        <v>3</v>
      </c>
      <c r="G42" s="59">
        <f>COUNTIF($V$5:$V$102,"Alto")</f>
        <v>0</v>
      </c>
      <c r="H42" s="59"/>
      <c r="I42" s="59"/>
      <c r="J42" s="59"/>
      <c r="K42" s="59"/>
      <c r="L42" s="59"/>
      <c r="M42" s="59"/>
      <c r="N42" s="59"/>
      <c r="O42" s="62">
        <f>SUM($C$42:$G$42)</f>
        <v>9</v>
      </c>
    </row>
    <row r="43" spans="1:19" x14ac:dyDescent="0.3">
      <c r="B43" s="63" t="s">
        <v>65</v>
      </c>
      <c r="C43" s="64">
        <f>$C$42*100/$O$42</f>
        <v>0</v>
      </c>
      <c r="D43" s="65">
        <f>$D$42*100/$O$42</f>
        <v>0</v>
      </c>
      <c r="E43" s="66">
        <f>$E$42*100/$O$42</f>
        <v>66.666666666666671</v>
      </c>
      <c r="F43" s="67">
        <f>$F$42*100/$O$42</f>
        <v>33.333333333333336</v>
      </c>
      <c r="G43" s="68">
        <f>$G$42*100/$O$42</f>
        <v>0</v>
      </c>
      <c r="H43" s="68"/>
      <c r="I43" s="68"/>
      <c r="J43" s="68"/>
      <c r="K43" s="68"/>
      <c r="L43" s="68"/>
      <c r="M43" s="68"/>
      <c r="N43" s="68"/>
      <c r="O43" s="63">
        <f>SUM(C43:G43)</f>
        <v>100</v>
      </c>
    </row>
    <row r="44" spans="1:19" ht="28" x14ac:dyDescent="0.3">
      <c r="B44" s="69" t="s">
        <v>19</v>
      </c>
      <c r="C44" s="55">
        <f>COUNTIF($W$5:$W$102,"Bajo")</f>
        <v>1</v>
      </c>
      <c r="D44" s="56">
        <f>COUNTIF($W$5:$W$102,"Medio Bajo")</f>
        <v>4</v>
      </c>
      <c r="E44" s="57">
        <f>COUNTIF($W$5:$W$102,"Medio")</f>
        <v>1</v>
      </c>
      <c r="F44" s="58">
        <f>COUNTIF($W$5:$W$102,"Medio Alto")</f>
        <v>3</v>
      </c>
      <c r="G44" s="59">
        <f>COUNTIF($W$5:$W$102,"Alto")</f>
        <v>0</v>
      </c>
      <c r="H44" s="59"/>
      <c r="I44" s="59"/>
      <c r="J44" s="59"/>
      <c r="K44" s="59"/>
      <c r="L44" s="59"/>
      <c r="M44" s="59"/>
      <c r="N44" s="59"/>
      <c r="O44" s="70">
        <f>SUM($C$44:$G$44)</f>
        <v>9</v>
      </c>
    </row>
    <row r="45" spans="1:19" x14ac:dyDescent="0.3">
      <c r="B45" s="63" t="s">
        <v>65</v>
      </c>
      <c r="C45" s="64">
        <f>$C$44*100/$O$44</f>
        <v>11.111111111111111</v>
      </c>
      <c r="D45" s="65">
        <f>$D$44*100/$O$44</f>
        <v>44.444444444444443</v>
      </c>
      <c r="E45" s="66">
        <f>$E$44*100/$O$44</f>
        <v>11.111111111111111</v>
      </c>
      <c r="F45" s="67">
        <f>$F$44*100/$O$44</f>
        <v>33.333333333333336</v>
      </c>
      <c r="G45" s="68">
        <f>$G$44*100/$O$44</f>
        <v>0</v>
      </c>
      <c r="H45" s="68"/>
      <c r="I45" s="68"/>
      <c r="J45" s="68"/>
      <c r="K45" s="68"/>
      <c r="L45" s="68"/>
      <c r="M45" s="68"/>
      <c r="N45" s="68"/>
      <c r="O45" s="63">
        <f>SUM($C$45:$G$45)</f>
        <v>100</v>
      </c>
    </row>
  </sheetData>
  <sheetProtection formatCells="0" formatColumns="0" formatRows="0" insertColumns="0" insertRows="0" insertHyperlinks="0" deleteColumns="0" deleteRows="0" sort="0" autoFilter="0" pivotTables="0"/>
  <protectedRanges>
    <protectedRange sqref="A5:XFD15" name="Rango1"/>
  </protectedRanges>
  <autoFilter ref="A4:BJ4" xr:uid="{4AD43C67-92F7-42D8-91A4-3B7A6D6EA31F}"/>
  <mergeCells count="33">
    <mergeCell ref="BB2:BB3"/>
    <mergeCell ref="C3:G3"/>
    <mergeCell ref="C21:E21"/>
    <mergeCell ref="T21:U21"/>
    <mergeCell ref="V2:V3"/>
    <mergeCell ref="W2:W3"/>
    <mergeCell ref="C18:O18"/>
    <mergeCell ref="C19:O19"/>
    <mergeCell ref="A2:G2"/>
    <mergeCell ref="A3:B3"/>
    <mergeCell ref="P3:T3"/>
    <mergeCell ref="P21:S21"/>
    <mergeCell ref="B17:O17"/>
    <mergeCell ref="H3:N3"/>
    <mergeCell ref="T22:U22"/>
    <mergeCell ref="C25:E25"/>
    <mergeCell ref="T25:U25"/>
    <mergeCell ref="P25:S25"/>
    <mergeCell ref="C24:E24"/>
    <mergeCell ref="T24:U24"/>
    <mergeCell ref="A33:S38"/>
    <mergeCell ref="C31:E31"/>
    <mergeCell ref="P31:S31"/>
    <mergeCell ref="P22:S22"/>
    <mergeCell ref="P24:S24"/>
    <mergeCell ref="C22:E22"/>
    <mergeCell ref="C26:E26"/>
    <mergeCell ref="C27:E27"/>
    <mergeCell ref="P26:S26"/>
    <mergeCell ref="P27:S27"/>
    <mergeCell ref="C28:E28"/>
    <mergeCell ref="C29:E29"/>
    <mergeCell ref="C30:E30"/>
  </mergeCells>
  <conditionalFormatting sqref="V2">
    <cfRule type="cellIs" dxfId="106" priority="1587" stopIfTrue="1" operator="equal">
      <formula>"Alto"</formula>
    </cfRule>
    <cfRule type="cellIs" dxfId="105" priority="1588" stopIfTrue="1" operator="equal">
      <formula>"Medio Alto"</formula>
    </cfRule>
    <cfRule type="cellIs" dxfId="104" priority="1589" stopIfTrue="1" operator="equal">
      <formula>"Medio"</formula>
    </cfRule>
    <cfRule type="cellIs" dxfId="103" priority="1590" stopIfTrue="1" operator="equal">
      <formula>"Medio Bajo"</formula>
    </cfRule>
    <cfRule type="cellIs" dxfId="102" priority="1591" stopIfTrue="1" operator="equal">
      <formula>"Bajo"</formula>
    </cfRule>
  </conditionalFormatting>
  <conditionalFormatting sqref="W2">
    <cfRule type="cellIs" dxfId="101" priority="1582" stopIfTrue="1" operator="equal">
      <formula>"Alto"</formula>
    </cfRule>
    <cfRule type="cellIs" dxfId="100" priority="1583" stopIfTrue="1" operator="equal">
      <formula>"Medio Alto"</formula>
    </cfRule>
    <cfRule type="cellIs" dxfId="99" priority="1584" stopIfTrue="1" operator="equal">
      <formula>"Medio"</formula>
    </cfRule>
    <cfRule type="cellIs" dxfId="98" priority="1585" stopIfTrue="1" operator="equal">
      <formula>"Medio Bajo"</formula>
    </cfRule>
    <cfRule type="cellIs" dxfId="97" priority="1586" stopIfTrue="1" operator="equal">
      <formula>"Bajo"</formula>
    </cfRule>
  </conditionalFormatting>
  <conditionalFormatting sqref="O5:O7 B5:B6">
    <cfRule type="cellIs" dxfId="96" priority="200" stopIfTrue="1" operator="equal">
      <formula>"B"</formula>
    </cfRule>
    <cfRule type="cellIs" dxfId="95" priority="201" stopIfTrue="1" operator="equal">
      <formula>"C"</formula>
    </cfRule>
    <cfRule type="cellIs" dxfId="94" priority="202" stopIfTrue="1" operator="equal">
      <formula>"D"</formula>
    </cfRule>
  </conditionalFormatting>
  <conditionalFormatting sqref="X5:AQ6">
    <cfRule type="cellIs" dxfId="93" priority="198" stopIfTrue="1" operator="equal">
      <formula>"SI"</formula>
    </cfRule>
    <cfRule type="cellIs" dxfId="92" priority="199" stopIfTrue="1" operator="equal">
      <formula>"Medio Alto"</formula>
    </cfRule>
  </conditionalFormatting>
  <conditionalFormatting sqref="V5:W6">
    <cfRule type="cellIs" dxfId="91" priority="193" stopIfTrue="1" operator="equal">
      <formula>"Alto"</formula>
    </cfRule>
    <cfRule type="cellIs" dxfId="90" priority="194" stopIfTrue="1" operator="equal">
      <formula>"Medio Alto"</formula>
    </cfRule>
    <cfRule type="cellIs" dxfId="89" priority="195" stopIfTrue="1" operator="equal">
      <formula>"Medio"</formula>
    </cfRule>
    <cfRule type="cellIs" dxfId="88" priority="196" stopIfTrue="1" operator="equal">
      <formula>"Medio Bajo"</formula>
    </cfRule>
    <cfRule type="cellIs" dxfId="87" priority="197" stopIfTrue="1" operator="equal">
      <formula>"Bajo"</formula>
    </cfRule>
  </conditionalFormatting>
  <conditionalFormatting sqref="B7">
    <cfRule type="cellIs" dxfId="86" priority="190" stopIfTrue="1" operator="equal">
      <formula>"B"</formula>
    </cfRule>
    <cfRule type="cellIs" dxfId="85" priority="191" stopIfTrue="1" operator="equal">
      <formula>"C"</formula>
    </cfRule>
    <cfRule type="cellIs" dxfId="84" priority="192" stopIfTrue="1" operator="equal">
      <formula>"D"</formula>
    </cfRule>
  </conditionalFormatting>
  <conditionalFormatting sqref="X7:AQ7">
    <cfRule type="cellIs" dxfId="83" priority="188" stopIfTrue="1" operator="equal">
      <formula>"SI"</formula>
    </cfRule>
    <cfRule type="cellIs" dxfId="82" priority="189" stopIfTrue="1" operator="equal">
      <formula>"Medio Alto"</formula>
    </cfRule>
  </conditionalFormatting>
  <conditionalFormatting sqref="V7:W7">
    <cfRule type="cellIs" dxfId="81" priority="183" stopIfTrue="1" operator="equal">
      <formula>"Alto"</formula>
    </cfRule>
    <cfRule type="cellIs" dxfId="80" priority="184" stopIfTrue="1" operator="equal">
      <formula>"Medio Alto"</formula>
    </cfRule>
    <cfRule type="cellIs" dxfId="79" priority="185" stopIfTrue="1" operator="equal">
      <formula>"Medio"</formula>
    </cfRule>
    <cfRule type="cellIs" dxfId="78" priority="186" stopIfTrue="1" operator="equal">
      <formula>"Medio Bajo"</formula>
    </cfRule>
    <cfRule type="cellIs" dxfId="77" priority="187" stopIfTrue="1" operator="equal">
      <formula>"Bajo"</formula>
    </cfRule>
  </conditionalFormatting>
  <conditionalFormatting sqref="O8 B8">
    <cfRule type="cellIs" dxfId="76" priority="180" stopIfTrue="1" operator="equal">
      <formula>"B"</formula>
    </cfRule>
    <cfRule type="cellIs" dxfId="75" priority="181" stopIfTrue="1" operator="equal">
      <formula>"C"</formula>
    </cfRule>
    <cfRule type="cellIs" dxfId="74" priority="182" stopIfTrue="1" operator="equal">
      <formula>"D"</formula>
    </cfRule>
  </conditionalFormatting>
  <conditionalFormatting sqref="X8:AQ8">
    <cfRule type="cellIs" dxfId="73" priority="178" stopIfTrue="1" operator="equal">
      <formula>"SI"</formula>
    </cfRule>
    <cfRule type="cellIs" dxfId="72" priority="179" stopIfTrue="1" operator="equal">
      <formula>"Medio Alto"</formula>
    </cfRule>
  </conditionalFormatting>
  <conditionalFormatting sqref="V8:W8">
    <cfRule type="cellIs" dxfId="71" priority="173" stopIfTrue="1" operator="equal">
      <formula>"Alto"</formula>
    </cfRule>
    <cfRule type="cellIs" dxfId="70" priority="174" stopIfTrue="1" operator="equal">
      <formula>"Medio Alto"</formula>
    </cfRule>
    <cfRule type="cellIs" dxfId="69" priority="175" stopIfTrue="1" operator="equal">
      <formula>"Medio"</formula>
    </cfRule>
    <cfRule type="cellIs" dxfId="68" priority="176" stopIfTrue="1" operator="equal">
      <formula>"Medio Bajo"</formula>
    </cfRule>
    <cfRule type="cellIs" dxfId="67" priority="177" stopIfTrue="1" operator="equal">
      <formula>"Bajo"</formula>
    </cfRule>
  </conditionalFormatting>
  <conditionalFormatting sqref="B9 O9">
    <cfRule type="cellIs" dxfId="66" priority="108" stopIfTrue="1" operator="equal">
      <formula>"B"</formula>
    </cfRule>
    <cfRule type="cellIs" dxfId="65" priority="109" stopIfTrue="1" operator="equal">
      <formula>"C"</formula>
    </cfRule>
    <cfRule type="cellIs" dxfId="64" priority="110" stopIfTrue="1" operator="equal">
      <formula>"D"</formula>
    </cfRule>
  </conditionalFormatting>
  <conditionalFormatting sqref="X9:AQ9">
    <cfRule type="cellIs" dxfId="63" priority="106" stopIfTrue="1" operator="equal">
      <formula>"SI"</formula>
    </cfRule>
    <cfRule type="cellIs" dxfId="62" priority="107" stopIfTrue="1" operator="equal">
      <formula>"Medio Alto"</formula>
    </cfRule>
  </conditionalFormatting>
  <conditionalFormatting sqref="V9:W9">
    <cfRule type="cellIs" dxfId="61" priority="101" stopIfTrue="1" operator="equal">
      <formula>"Alto"</formula>
    </cfRule>
    <cfRule type="cellIs" dxfId="60" priority="102" stopIfTrue="1" operator="equal">
      <formula>"Medio Alto"</formula>
    </cfRule>
    <cfRule type="cellIs" dxfId="59" priority="103" stopIfTrue="1" operator="equal">
      <formula>"Medio"</formula>
    </cfRule>
    <cfRule type="cellIs" dxfId="58" priority="104" stopIfTrue="1" operator="equal">
      <formula>"Medio Bajo"</formula>
    </cfRule>
    <cfRule type="cellIs" dxfId="57" priority="105" stopIfTrue="1" operator="equal">
      <formula>"Bajo"</formula>
    </cfRule>
  </conditionalFormatting>
  <conditionalFormatting sqref="B10 O10">
    <cfRule type="cellIs" dxfId="56" priority="88" stopIfTrue="1" operator="equal">
      <formula>"B"</formula>
    </cfRule>
    <cfRule type="cellIs" dxfId="55" priority="89" stopIfTrue="1" operator="equal">
      <formula>"C"</formula>
    </cfRule>
    <cfRule type="cellIs" dxfId="54" priority="90" stopIfTrue="1" operator="equal">
      <formula>"D"</formula>
    </cfRule>
  </conditionalFormatting>
  <conditionalFormatting sqref="X10:AQ10">
    <cfRule type="cellIs" dxfId="53" priority="86" stopIfTrue="1" operator="equal">
      <formula>"SI"</formula>
    </cfRule>
    <cfRule type="cellIs" dxfId="52" priority="87" stopIfTrue="1" operator="equal">
      <formula>"Medio Alto"</formula>
    </cfRule>
  </conditionalFormatting>
  <conditionalFormatting sqref="V10:W10">
    <cfRule type="cellIs" dxfId="51" priority="81" stopIfTrue="1" operator="equal">
      <formula>"Alto"</formula>
    </cfRule>
    <cfRule type="cellIs" dxfId="50" priority="82" stopIfTrue="1" operator="equal">
      <formula>"Medio Alto"</formula>
    </cfRule>
    <cfRule type="cellIs" dxfId="49" priority="83" stopIfTrue="1" operator="equal">
      <formula>"Medio"</formula>
    </cfRule>
    <cfRule type="cellIs" dxfId="48" priority="84" stopIfTrue="1" operator="equal">
      <formula>"Medio Bajo"</formula>
    </cfRule>
    <cfRule type="cellIs" dxfId="47" priority="85" stopIfTrue="1" operator="equal">
      <formula>"Bajo"</formula>
    </cfRule>
  </conditionalFormatting>
  <conditionalFormatting sqref="B11:B13 O11 O13">
    <cfRule type="cellIs" dxfId="46" priority="78" stopIfTrue="1" operator="equal">
      <formula>"B"</formula>
    </cfRule>
    <cfRule type="cellIs" dxfId="45" priority="79" stopIfTrue="1" operator="equal">
      <formula>"C"</formula>
    </cfRule>
    <cfRule type="cellIs" dxfId="44" priority="80" stopIfTrue="1" operator="equal">
      <formula>"D"</formula>
    </cfRule>
  </conditionalFormatting>
  <conditionalFormatting sqref="X11:AQ11 X13:AQ13 Y12:AQ12">
    <cfRule type="cellIs" dxfId="43" priority="76" stopIfTrue="1" operator="equal">
      <formula>"SI"</formula>
    </cfRule>
    <cfRule type="cellIs" dxfId="42" priority="77" stopIfTrue="1" operator="equal">
      <formula>"Medio Alto"</formula>
    </cfRule>
  </conditionalFormatting>
  <conditionalFormatting sqref="V11:W13">
    <cfRule type="cellIs" dxfId="41" priority="71" stopIfTrue="1" operator="equal">
      <formula>"Alto"</formula>
    </cfRule>
    <cfRule type="cellIs" dxfId="40" priority="72" stopIfTrue="1" operator="equal">
      <formula>"Medio Alto"</formula>
    </cfRule>
    <cfRule type="cellIs" dxfId="39" priority="73" stopIfTrue="1" operator="equal">
      <formula>"Medio"</formula>
    </cfRule>
    <cfRule type="cellIs" dxfId="38" priority="74" stopIfTrue="1" operator="equal">
      <formula>"Medio Bajo"</formula>
    </cfRule>
    <cfRule type="cellIs" dxfId="37" priority="75" stopIfTrue="1" operator="equal">
      <formula>"Bajo"</formula>
    </cfRule>
  </conditionalFormatting>
  <conditionalFormatting sqref="O12">
    <cfRule type="cellIs" dxfId="36" priority="68" stopIfTrue="1" operator="equal">
      <formula>"B"</formula>
    </cfRule>
    <cfRule type="cellIs" dxfId="35" priority="69" stopIfTrue="1" operator="equal">
      <formula>"C"</formula>
    </cfRule>
    <cfRule type="cellIs" dxfId="34" priority="70" stopIfTrue="1" operator="equal">
      <formula>"D"</formula>
    </cfRule>
  </conditionalFormatting>
  <conditionalFormatting sqref="X12">
    <cfRule type="cellIs" dxfId="33" priority="66" stopIfTrue="1" operator="equal">
      <formula>"SI"</formula>
    </cfRule>
    <cfRule type="cellIs" dxfId="32" priority="67" stopIfTrue="1" operator="equal">
      <formula>"Medio Alto"</formula>
    </cfRule>
  </conditionalFormatting>
  <conditionalFormatting sqref="V15:W15">
    <cfRule type="cellIs" dxfId="31" priority="31" stopIfTrue="1" operator="equal">
      <formula>"Alto"</formula>
    </cfRule>
    <cfRule type="cellIs" dxfId="30" priority="32" stopIfTrue="1" operator="equal">
      <formula>"Medio Alto"</formula>
    </cfRule>
    <cfRule type="cellIs" dxfId="29" priority="33" stopIfTrue="1" operator="equal">
      <formula>"Medio"</formula>
    </cfRule>
    <cfRule type="cellIs" dxfId="28" priority="34" stopIfTrue="1" operator="equal">
      <formula>"Medio Bajo"</formula>
    </cfRule>
    <cfRule type="cellIs" dxfId="27" priority="35" stopIfTrue="1" operator="equal">
      <formula>"Bajo"</formula>
    </cfRule>
  </conditionalFormatting>
  <conditionalFormatting sqref="B15 O15">
    <cfRule type="cellIs" dxfId="26" priority="38" stopIfTrue="1" operator="equal">
      <formula>"B"</formula>
    </cfRule>
    <cfRule type="cellIs" dxfId="25" priority="39" stopIfTrue="1" operator="equal">
      <formula>"C"</formula>
    </cfRule>
    <cfRule type="cellIs" dxfId="24" priority="40" stopIfTrue="1" operator="equal">
      <formula>"D"</formula>
    </cfRule>
  </conditionalFormatting>
  <conditionalFormatting sqref="X15:AQ15">
    <cfRule type="cellIs" dxfId="23" priority="36" stopIfTrue="1" operator="equal">
      <formula>"SI"</formula>
    </cfRule>
    <cfRule type="cellIs" dxfId="22" priority="37" stopIfTrue="1" operator="equal">
      <formula>"Medio Alto"</formula>
    </cfRule>
  </conditionalFormatting>
  <conditionalFormatting sqref="V14:W14">
    <cfRule type="cellIs" dxfId="21" priority="11" stopIfTrue="1" operator="equal">
      <formula>"Alto"</formula>
    </cfRule>
    <cfRule type="cellIs" dxfId="20" priority="12" stopIfTrue="1" operator="equal">
      <formula>"Medio Alto"</formula>
    </cfRule>
    <cfRule type="cellIs" dxfId="19" priority="13" stopIfTrue="1" operator="equal">
      <formula>"Medio"</formula>
    </cfRule>
    <cfRule type="cellIs" dxfId="18" priority="14" stopIfTrue="1" operator="equal">
      <formula>"Medio Bajo"</formula>
    </cfRule>
    <cfRule type="cellIs" dxfId="17" priority="15" stopIfTrue="1" operator="equal">
      <formula>"Bajo"</formula>
    </cfRule>
  </conditionalFormatting>
  <conditionalFormatting sqref="B14 O14">
    <cfRule type="cellIs" dxfId="16" priority="18" stopIfTrue="1" operator="equal">
      <formula>"B"</formula>
    </cfRule>
    <cfRule type="cellIs" dxfId="15" priority="19" stopIfTrue="1" operator="equal">
      <formula>"C"</formula>
    </cfRule>
    <cfRule type="cellIs" dxfId="14" priority="20" stopIfTrue="1" operator="equal">
      <formula>"D"</formula>
    </cfRule>
  </conditionalFormatting>
  <conditionalFormatting sqref="X14:AQ14">
    <cfRule type="cellIs" dxfId="13" priority="16" stopIfTrue="1" operator="equal">
      <formula>"SI"</formula>
    </cfRule>
    <cfRule type="cellIs" dxfId="12" priority="17" stopIfTrue="1" operator="equal">
      <formula>"Medio Alto"</formula>
    </cfRule>
  </conditionalFormatting>
  <dataValidations count="2">
    <dataValidation type="list" allowBlank="1" showInputMessage="1" showErrorMessage="1" sqref="U5:U19" xr:uid="{00000000-0002-0000-0100-000000000000}">
      <formula1>"1 Muy poco probable, 2 Poco Probable, 3 Ocasional, 4 Frecuente, 5 Muy Frecuente"</formula1>
    </dataValidation>
    <dataValidation type="list" allowBlank="1" showInputMessage="1" showErrorMessage="1" sqref="P5:T19" xr:uid="{00000000-0002-0000-0100-000001000000}">
      <formula1>"1 Bajo, 2 Medio Bajo, 3 Medio, 4 Medio Alto, 5 Alto"</formula1>
    </dataValidation>
  </dataValidations>
  <hyperlinks>
    <hyperlink ref="U2" location="Escala!G2" display="ESCALA" xr:uid="{25E5C444-770D-46F0-80FE-F075253A6719}"/>
  </hyperlinks>
  <pageMargins left="0.7" right="0.7" top="0.75" bottom="0.75" header="0.3" footer="0.3"/>
  <pageSetup scale="22"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r:uid="{3CC28964-CA10-4A3B-90C6-1D82CCBB2473}">
          <x14:formula1>
            <xm:f>Hoja1!$Q$2:$Q$3</xm:f>
          </x14:formula1>
          <xm:sqref>I5:I15</xm:sqref>
        </x14:dataValidation>
        <x14:dataValidation type="list" allowBlank="1" showInputMessage="1" showErrorMessage="1" xr:uid="{F4963362-98FF-4CF4-8970-B077BB3BE270}">
          <x14:formula1>
            <xm:f>Hoja1!$R$2:$R$3</xm:f>
          </x14:formula1>
          <xm:sqref>J5:J15</xm:sqref>
        </x14:dataValidation>
        <x14:dataValidation type="list" allowBlank="1" showInputMessage="1" showErrorMessage="1" xr:uid="{9E605D09-B895-442B-9335-89B99D42E3DF}">
          <x14:formula1>
            <xm:f>Hoja1!$P$2:$P$4</xm:f>
          </x14:formula1>
          <xm:sqref>H5:H15</xm:sqref>
        </x14:dataValidation>
        <x14:dataValidation type="list" allowBlank="1" showInputMessage="1" showErrorMessage="1" xr:uid="{DCFCB498-F093-4965-BC66-63E21583EDDF}">
          <x14:formula1>
            <xm:f>Hoja1!$T$2:$T$4</xm:f>
          </x14:formula1>
          <xm:sqref>L5:L15</xm:sqref>
        </x14:dataValidation>
        <x14:dataValidation type="list" allowBlank="1" showInputMessage="1" showErrorMessage="1" xr:uid="{A00F9FE2-DA30-436E-8DC3-B8A1C1EE454B}">
          <x14:formula1>
            <xm:f>Hoja1!$S$2:$S$4</xm:f>
          </x14:formula1>
          <xm:sqref>K5:K15</xm:sqref>
        </x14:dataValidation>
        <x14:dataValidation type="list" allowBlank="1" showInputMessage="1" showErrorMessage="1" xr:uid="{49513C23-880A-423A-BF3D-0D33739496CD}">
          <x14:formula1>
            <xm:f>Hoja1!$G$2:$G$95</xm:f>
          </x14:formula1>
          <xm:sqref>E5:E16</xm:sqref>
        </x14:dataValidation>
        <x14:dataValidation type="list" allowBlank="1" showInputMessage="1" showErrorMessage="1" xr:uid="{6F35102D-378C-4437-B397-5477B7B65DF9}">
          <x14:formula1>
            <xm:f>Hoja1!$D$2:$D$8</xm:f>
          </x14:formula1>
          <xm:sqref>D5:D16</xm:sqref>
        </x14:dataValidation>
        <x14:dataValidation type="list" allowBlank="1" showInputMessage="1" showErrorMessage="1" xr:uid="{D5225CF5-08BD-4DE6-9699-B1BDE0B324AC}">
          <x14:formula1>
            <xm:f>Hoja1!$A$2:$A$14</xm:f>
          </x14:formula1>
          <xm:sqref>C5:C16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85CA-25F9-4238-91F4-C20F17378C50}">
  <sheetPr codeName="Hoja3"/>
  <dimension ref="A1:Q153"/>
  <sheetViews>
    <sheetView topLeftCell="P7" zoomScale="80" zoomScaleNormal="80" zoomScaleSheetLayoutView="80" workbookViewId="0">
      <selection activeCell="Y10" sqref="Y10"/>
    </sheetView>
  </sheetViews>
  <sheetFormatPr baseColWidth="10" defaultRowHeight="14.5" x14ac:dyDescent="0.35"/>
  <cols>
    <col min="1" max="4" width="0" hidden="1" customWidth="1"/>
    <col min="5" max="5" width="12.7265625" hidden="1" customWidth="1"/>
    <col min="6" max="7" width="0" hidden="1" customWidth="1"/>
    <col min="8" max="8" width="18.453125" hidden="1" customWidth="1"/>
    <col min="9" max="9" width="11.26953125" hidden="1" customWidth="1"/>
    <col min="10" max="10" width="15.1796875" hidden="1" customWidth="1"/>
    <col min="11" max="15" width="0" hidden="1" customWidth="1"/>
    <col min="16" max="16" width="39.1796875" bestFit="1" customWidth="1"/>
    <col min="17" max="17" width="21.453125" customWidth="1"/>
  </cols>
  <sheetData>
    <row r="1" spans="1:17" ht="29" x14ac:dyDescent="0.35">
      <c r="A1" s="203" t="s">
        <v>390</v>
      </c>
      <c r="B1" s="203"/>
      <c r="C1" s="203" t="s">
        <v>391</v>
      </c>
      <c r="D1" s="203"/>
      <c r="F1" s="204"/>
      <c r="G1" s="204"/>
      <c r="H1" s="204"/>
      <c r="J1" s="128" t="s">
        <v>392</v>
      </c>
    </row>
    <row r="2" spans="1:17" ht="43.5" x14ac:dyDescent="0.35">
      <c r="A2" s="143" t="s">
        <v>20</v>
      </c>
      <c r="B2" s="143" t="s">
        <v>21</v>
      </c>
      <c r="C2" s="144"/>
      <c r="D2" s="144"/>
      <c r="F2" s="124"/>
      <c r="G2" s="124"/>
      <c r="H2" s="145">
        <v>0</v>
      </c>
      <c r="I2" s="146" t="s">
        <v>398</v>
      </c>
      <c r="J2" s="145">
        <v>0.4</v>
      </c>
      <c r="K2" s="111" t="s">
        <v>256</v>
      </c>
      <c r="P2" s="205" t="s">
        <v>254</v>
      </c>
      <c r="Q2" s="205"/>
    </row>
    <row r="3" spans="1:17" x14ac:dyDescent="0.35">
      <c r="A3" t="s">
        <v>244</v>
      </c>
      <c r="B3" t="s">
        <v>245</v>
      </c>
      <c r="C3" t="s">
        <v>245</v>
      </c>
      <c r="D3" t="s">
        <v>245</v>
      </c>
      <c r="E3" t="b">
        <f>B3=D3</f>
        <v>1</v>
      </c>
      <c r="F3" s="124"/>
      <c r="G3" s="124"/>
      <c r="H3" s="147">
        <f>J2</f>
        <v>0.4</v>
      </c>
      <c r="I3" s="146" t="s">
        <v>398</v>
      </c>
      <c r="J3" s="145">
        <v>0.6</v>
      </c>
      <c r="K3" s="111" t="s">
        <v>260</v>
      </c>
    </row>
    <row r="4" spans="1:17" x14ac:dyDescent="0.35">
      <c r="A4" t="s">
        <v>245</v>
      </c>
      <c r="B4" t="s">
        <v>245</v>
      </c>
      <c r="C4" t="s">
        <v>245</v>
      </c>
      <c r="D4" t="s">
        <v>245</v>
      </c>
      <c r="E4" t="b">
        <f t="shared" ref="E4:E67" si="0">B4=D4</f>
        <v>1</v>
      </c>
      <c r="F4" s="124"/>
      <c r="G4" s="124"/>
      <c r="H4" s="147">
        <f>J3</f>
        <v>0.6</v>
      </c>
      <c r="I4" s="146" t="s">
        <v>398</v>
      </c>
      <c r="J4" s="145">
        <v>0.8</v>
      </c>
      <c r="K4" s="111" t="s">
        <v>264</v>
      </c>
      <c r="P4" s="122" t="s">
        <v>257</v>
      </c>
      <c r="Q4" s="123">
        <v>0.35</v>
      </c>
    </row>
    <row r="5" spans="1:17" x14ac:dyDescent="0.35">
      <c r="A5" t="s">
        <v>245</v>
      </c>
      <c r="B5" t="s">
        <v>245</v>
      </c>
      <c r="C5" t="s">
        <v>245</v>
      </c>
      <c r="D5" t="s">
        <v>245</v>
      </c>
      <c r="E5" t="b">
        <f t="shared" si="0"/>
        <v>1</v>
      </c>
      <c r="F5" s="124"/>
      <c r="G5" s="124"/>
      <c r="H5" s="147">
        <f>J4</f>
        <v>0.8</v>
      </c>
      <c r="I5" s="146" t="s">
        <v>398</v>
      </c>
      <c r="J5" s="145">
        <v>0.95</v>
      </c>
      <c r="K5" s="111" t="s">
        <v>268</v>
      </c>
      <c r="P5" s="111" t="s">
        <v>241</v>
      </c>
      <c r="Q5" s="125">
        <f>Q4</f>
        <v>0.35</v>
      </c>
    </row>
    <row r="6" spans="1:17" x14ac:dyDescent="0.35">
      <c r="A6" t="s">
        <v>244</v>
      </c>
      <c r="B6" t="s">
        <v>245</v>
      </c>
      <c r="C6" t="s">
        <v>244</v>
      </c>
      <c r="D6" t="s">
        <v>245</v>
      </c>
      <c r="E6" t="b">
        <f t="shared" si="0"/>
        <v>1</v>
      </c>
      <c r="F6" s="124"/>
      <c r="G6" s="124"/>
      <c r="H6" s="147">
        <f>J5</f>
        <v>0.95</v>
      </c>
      <c r="I6" s="146" t="s">
        <v>398</v>
      </c>
      <c r="J6" s="145">
        <v>1</v>
      </c>
      <c r="K6" s="111" t="s">
        <v>271</v>
      </c>
      <c r="P6" s="111" t="s">
        <v>376</v>
      </c>
      <c r="Q6" s="149">
        <v>0.2</v>
      </c>
    </row>
    <row r="7" spans="1:17" x14ac:dyDescent="0.35">
      <c r="A7" t="s">
        <v>245</v>
      </c>
      <c r="B7" t="s">
        <v>245</v>
      </c>
      <c r="C7" t="s">
        <v>244</v>
      </c>
      <c r="D7" t="s">
        <v>245</v>
      </c>
      <c r="E7" t="b">
        <f t="shared" si="0"/>
        <v>1</v>
      </c>
      <c r="P7" s="111" t="s">
        <v>250</v>
      </c>
      <c r="Q7" s="127">
        <v>0</v>
      </c>
    </row>
    <row r="8" spans="1:17" ht="47.25" customHeight="1" x14ac:dyDescent="0.35">
      <c r="A8" t="s">
        <v>244</v>
      </c>
      <c r="B8" t="s">
        <v>245</v>
      </c>
      <c r="C8" t="s">
        <v>245</v>
      </c>
      <c r="D8" t="s">
        <v>245</v>
      </c>
      <c r="E8" t="b">
        <f t="shared" si="0"/>
        <v>1</v>
      </c>
      <c r="G8" s="143" t="s">
        <v>394</v>
      </c>
      <c r="H8" s="143" t="s">
        <v>395</v>
      </c>
      <c r="I8" s="143" t="s">
        <v>396</v>
      </c>
      <c r="J8" s="143" t="s">
        <v>397</v>
      </c>
    </row>
    <row r="9" spans="1:17" x14ac:dyDescent="0.35">
      <c r="A9" t="s">
        <v>244</v>
      </c>
      <c r="B9" t="s">
        <v>245</v>
      </c>
      <c r="C9" t="s">
        <v>244</v>
      </c>
      <c r="D9" t="s">
        <v>245</v>
      </c>
      <c r="E9" t="b">
        <f t="shared" si="0"/>
        <v>1</v>
      </c>
      <c r="F9" s="124" t="s">
        <v>244</v>
      </c>
      <c r="G9">
        <f>COUNTIF(A3:A153,"SI")</f>
        <v>64</v>
      </c>
      <c r="H9">
        <f>COUNTIF(C3:C153,"SI")</f>
        <v>69</v>
      </c>
      <c r="I9">
        <f>COUNTIF(B3:B153,"SI")</f>
        <v>5</v>
      </c>
      <c r="J9">
        <f>COUNTIF(D3:D153,"SI")</f>
        <v>4</v>
      </c>
    </row>
    <row r="10" spans="1:17" x14ac:dyDescent="0.35">
      <c r="A10" t="s">
        <v>244</v>
      </c>
      <c r="B10" t="s">
        <v>245</v>
      </c>
      <c r="C10" t="s">
        <v>244</v>
      </c>
      <c r="D10" t="s">
        <v>245</v>
      </c>
      <c r="E10" t="b">
        <f t="shared" si="0"/>
        <v>1</v>
      </c>
      <c r="F10" s="124" t="s">
        <v>245</v>
      </c>
      <c r="G10">
        <f>COUNTIF(A3:A153,"NO")</f>
        <v>87</v>
      </c>
      <c r="H10">
        <f>COUNTIF(C3:C153,"NO")</f>
        <v>82</v>
      </c>
      <c r="I10">
        <f>COUNTIF(B3:B153,"NO")</f>
        <v>146</v>
      </c>
      <c r="J10">
        <f>COUNTIF(D3:D153,"NO")</f>
        <v>147</v>
      </c>
      <c r="P10" s="122" t="s">
        <v>387</v>
      </c>
      <c r="Q10" s="123">
        <v>0.2</v>
      </c>
    </row>
    <row r="11" spans="1:17" x14ac:dyDescent="0.35">
      <c r="A11" t="s">
        <v>244</v>
      </c>
      <c r="B11" t="s">
        <v>245</v>
      </c>
      <c r="C11" t="s">
        <v>244</v>
      </c>
      <c r="D11" t="s">
        <v>245</v>
      </c>
      <c r="E11" t="b">
        <f t="shared" si="0"/>
        <v>1</v>
      </c>
      <c r="P11" s="111" t="s">
        <v>470</v>
      </c>
      <c r="Q11" s="125">
        <v>0.2</v>
      </c>
    </row>
    <row r="12" spans="1:17" x14ac:dyDescent="0.35">
      <c r="A12" t="s">
        <v>245</v>
      </c>
      <c r="B12" t="s">
        <v>245</v>
      </c>
      <c r="C12" t="s">
        <v>245</v>
      </c>
      <c r="D12" t="s">
        <v>245</v>
      </c>
      <c r="E12" t="b">
        <f t="shared" si="0"/>
        <v>1</v>
      </c>
      <c r="P12" s="111" t="s">
        <v>471</v>
      </c>
      <c r="Q12" s="125">
        <v>0.05</v>
      </c>
    </row>
    <row r="13" spans="1:17" x14ac:dyDescent="0.35">
      <c r="A13" t="s">
        <v>244</v>
      </c>
      <c r="B13" t="s">
        <v>245</v>
      </c>
      <c r="C13" t="s">
        <v>244</v>
      </c>
      <c r="D13" t="s">
        <v>245</v>
      </c>
      <c r="E13" t="b">
        <f t="shared" si="0"/>
        <v>1</v>
      </c>
    </row>
    <row r="14" spans="1:17" x14ac:dyDescent="0.35">
      <c r="A14" t="s">
        <v>244</v>
      </c>
      <c r="B14" t="s">
        <v>245</v>
      </c>
      <c r="C14" t="s">
        <v>244</v>
      </c>
      <c r="D14" t="s">
        <v>245</v>
      </c>
      <c r="E14" t="b">
        <f t="shared" si="0"/>
        <v>1</v>
      </c>
      <c r="P14" s="122" t="s">
        <v>383</v>
      </c>
      <c r="Q14" s="123">
        <v>0.2</v>
      </c>
    </row>
    <row r="15" spans="1:17" x14ac:dyDescent="0.35">
      <c r="A15" t="s">
        <v>245</v>
      </c>
      <c r="B15" t="s">
        <v>245</v>
      </c>
      <c r="C15" t="s">
        <v>245</v>
      </c>
      <c r="D15" t="s">
        <v>245</v>
      </c>
      <c r="E15" t="b">
        <f t="shared" si="0"/>
        <v>1</v>
      </c>
      <c r="P15" s="111" t="s">
        <v>377</v>
      </c>
      <c r="Q15" s="125">
        <v>0.05</v>
      </c>
    </row>
    <row r="16" spans="1:17" x14ac:dyDescent="0.35">
      <c r="A16" t="s">
        <v>244</v>
      </c>
      <c r="B16" t="s">
        <v>245</v>
      </c>
      <c r="C16" t="s">
        <v>244</v>
      </c>
      <c r="D16" t="s">
        <v>245</v>
      </c>
      <c r="E16" t="b">
        <f t="shared" si="0"/>
        <v>1</v>
      </c>
      <c r="P16" s="111" t="s">
        <v>378</v>
      </c>
      <c r="Q16" s="125">
        <v>0.15</v>
      </c>
    </row>
    <row r="17" spans="1:17" x14ac:dyDescent="0.35">
      <c r="A17" t="s">
        <v>244</v>
      </c>
      <c r="B17" t="s">
        <v>245</v>
      </c>
      <c r="C17" t="s">
        <v>244</v>
      </c>
      <c r="D17" t="s">
        <v>245</v>
      </c>
      <c r="E17" t="b">
        <f t="shared" si="0"/>
        <v>1</v>
      </c>
      <c r="P17" s="111" t="s">
        <v>379</v>
      </c>
      <c r="Q17" s="125">
        <v>0.2</v>
      </c>
    </row>
    <row r="18" spans="1:17" x14ac:dyDescent="0.35">
      <c r="A18" t="s">
        <v>244</v>
      </c>
      <c r="B18" t="s">
        <v>245</v>
      </c>
      <c r="C18" t="s">
        <v>244</v>
      </c>
      <c r="D18" t="s">
        <v>245</v>
      </c>
      <c r="E18" t="b">
        <f t="shared" si="0"/>
        <v>1</v>
      </c>
    </row>
    <row r="19" spans="1:17" x14ac:dyDescent="0.35">
      <c r="A19" t="s">
        <v>244</v>
      </c>
      <c r="B19" t="s">
        <v>245</v>
      </c>
      <c r="C19" t="s">
        <v>244</v>
      </c>
      <c r="D19" t="s">
        <v>245</v>
      </c>
      <c r="E19" t="b">
        <f t="shared" si="0"/>
        <v>1</v>
      </c>
      <c r="P19" s="129" t="s">
        <v>467</v>
      </c>
      <c r="Q19" s="140">
        <v>0.15</v>
      </c>
    </row>
    <row r="20" spans="1:17" x14ac:dyDescent="0.35">
      <c r="A20" t="s">
        <v>244</v>
      </c>
      <c r="B20" t="s">
        <v>245</v>
      </c>
      <c r="C20" t="s">
        <v>244</v>
      </c>
      <c r="D20" t="s">
        <v>245</v>
      </c>
      <c r="E20" t="b">
        <f t="shared" si="0"/>
        <v>1</v>
      </c>
      <c r="P20" s="111" t="s">
        <v>244</v>
      </c>
      <c r="Q20" s="125">
        <v>0.15</v>
      </c>
    </row>
    <row r="21" spans="1:17" x14ac:dyDescent="0.35">
      <c r="A21" t="s">
        <v>244</v>
      </c>
      <c r="B21" t="s">
        <v>245</v>
      </c>
      <c r="C21" t="s">
        <v>244</v>
      </c>
      <c r="D21" t="s">
        <v>245</v>
      </c>
      <c r="E21" t="b">
        <f t="shared" si="0"/>
        <v>1</v>
      </c>
      <c r="P21" s="111" t="s">
        <v>245</v>
      </c>
      <c r="Q21" s="125">
        <v>0</v>
      </c>
    </row>
    <row r="22" spans="1:17" x14ac:dyDescent="0.35">
      <c r="A22" t="s">
        <v>244</v>
      </c>
      <c r="B22" t="s">
        <v>245</v>
      </c>
      <c r="C22" t="s">
        <v>244</v>
      </c>
      <c r="D22" t="s">
        <v>245</v>
      </c>
      <c r="E22" t="b">
        <f t="shared" si="0"/>
        <v>1</v>
      </c>
    </row>
    <row r="23" spans="1:17" x14ac:dyDescent="0.35">
      <c r="A23" t="s">
        <v>244</v>
      </c>
      <c r="B23" t="s">
        <v>245</v>
      </c>
      <c r="C23" t="s">
        <v>244</v>
      </c>
      <c r="D23" t="s">
        <v>245</v>
      </c>
      <c r="E23" t="b">
        <f t="shared" si="0"/>
        <v>1</v>
      </c>
      <c r="P23" s="132"/>
    </row>
    <row r="24" spans="1:17" x14ac:dyDescent="0.35">
      <c r="A24" t="s">
        <v>244</v>
      </c>
      <c r="B24" t="s">
        <v>245</v>
      </c>
      <c r="C24" t="s">
        <v>244</v>
      </c>
      <c r="D24" t="s">
        <v>245</v>
      </c>
      <c r="E24" t="b">
        <f t="shared" si="0"/>
        <v>1</v>
      </c>
      <c r="P24" s="135" t="s">
        <v>389</v>
      </c>
      <c r="Q24" s="141">
        <v>0.1</v>
      </c>
    </row>
    <row r="25" spans="1:17" x14ac:dyDescent="0.35">
      <c r="A25" t="s">
        <v>244</v>
      </c>
      <c r="B25" t="s">
        <v>245</v>
      </c>
      <c r="C25" t="s">
        <v>244</v>
      </c>
      <c r="D25" t="s">
        <v>245</v>
      </c>
      <c r="E25" t="b">
        <f t="shared" si="0"/>
        <v>1</v>
      </c>
      <c r="P25" s="133" t="s">
        <v>468</v>
      </c>
      <c r="Q25" s="133">
        <v>0.05</v>
      </c>
    </row>
    <row r="26" spans="1:17" x14ac:dyDescent="0.35">
      <c r="A26" t="s">
        <v>244</v>
      </c>
      <c r="B26" t="s">
        <v>245</v>
      </c>
      <c r="C26" t="s">
        <v>244</v>
      </c>
      <c r="D26" t="s">
        <v>245</v>
      </c>
      <c r="E26" t="b">
        <f t="shared" si="0"/>
        <v>1</v>
      </c>
      <c r="P26" s="133" t="s">
        <v>469</v>
      </c>
      <c r="Q26" s="133">
        <v>0.1</v>
      </c>
    </row>
    <row r="27" spans="1:17" x14ac:dyDescent="0.35">
      <c r="A27" t="s">
        <v>245</v>
      </c>
      <c r="B27" t="s">
        <v>245</v>
      </c>
      <c r="C27" t="s">
        <v>244</v>
      </c>
      <c r="D27" t="s">
        <v>245</v>
      </c>
      <c r="E27" t="b">
        <f t="shared" si="0"/>
        <v>1</v>
      </c>
    </row>
    <row r="28" spans="1:17" x14ac:dyDescent="0.35">
      <c r="A28" t="s">
        <v>245</v>
      </c>
      <c r="B28" t="s">
        <v>245</v>
      </c>
      <c r="C28" t="s">
        <v>244</v>
      </c>
      <c r="D28" t="s">
        <v>245</v>
      </c>
      <c r="E28" t="b">
        <f t="shared" si="0"/>
        <v>1</v>
      </c>
    </row>
    <row r="29" spans="1:17" x14ac:dyDescent="0.35">
      <c r="A29" t="s">
        <v>245</v>
      </c>
      <c r="B29" t="s">
        <v>245</v>
      </c>
      <c r="C29" t="s">
        <v>245</v>
      </c>
      <c r="D29" t="s">
        <v>245</v>
      </c>
      <c r="E29" t="b">
        <f t="shared" si="0"/>
        <v>1</v>
      </c>
    </row>
    <row r="30" spans="1:17" x14ac:dyDescent="0.35">
      <c r="A30" t="s">
        <v>245</v>
      </c>
      <c r="B30" t="s">
        <v>245</v>
      </c>
      <c r="C30" t="s">
        <v>245</v>
      </c>
      <c r="D30" t="s">
        <v>245</v>
      </c>
      <c r="E30" t="b">
        <f t="shared" si="0"/>
        <v>1</v>
      </c>
    </row>
    <row r="31" spans="1:17" x14ac:dyDescent="0.35">
      <c r="A31" t="s">
        <v>245</v>
      </c>
      <c r="B31" t="s">
        <v>245</v>
      </c>
      <c r="C31" t="s">
        <v>244</v>
      </c>
      <c r="D31" t="s">
        <v>245</v>
      </c>
      <c r="E31" t="b">
        <f t="shared" si="0"/>
        <v>1</v>
      </c>
    </row>
    <row r="32" spans="1:17" x14ac:dyDescent="0.35">
      <c r="A32" t="s">
        <v>245</v>
      </c>
      <c r="B32" t="s">
        <v>245</v>
      </c>
      <c r="C32" t="s">
        <v>244</v>
      </c>
      <c r="D32" t="s">
        <v>245</v>
      </c>
      <c r="E32" t="b">
        <f t="shared" si="0"/>
        <v>1</v>
      </c>
    </row>
    <row r="33" spans="1:5" x14ac:dyDescent="0.35">
      <c r="A33" t="s">
        <v>245</v>
      </c>
      <c r="B33" t="s">
        <v>245</v>
      </c>
      <c r="C33" t="s">
        <v>244</v>
      </c>
      <c r="D33" t="s">
        <v>245</v>
      </c>
      <c r="E33" t="b">
        <f t="shared" si="0"/>
        <v>1</v>
      </c>
    </row>
    <row r="34" spans="1:5" x14ac:dyDescent="0.35">
      <c r="A34" t="s">
        <v>245</v>
      </c>
      <c r="B34" t="s">
        <v>245</v>
      </c>
      <c r="C34" t="s">
        <v>244</v>
      </c>
      <c r="D34" t="s">
        <v>245</v>
      </c>
      <c r="E34" t="b">
        <f t="shared" si="0"/>
        <v>1</v>
      </c>
    </row>
    <row r="35" spans="1:5" x14ac:dyDescent="0.35">
      <c r="A35" t="s">
        <v>245</v>
      </c>
      <c r="B35" t="s">
        <v>245</v>
      </c>
      <c r="C35" t="s">
        <v>245</v>
      </c>
      <c r="D35" t="s">
        <v>245</v>
      </c>
      <c r="E35" t="b">
        <f t="shared" si="0"/>
        <v>1</v>
      </c>
    </row>
    <row r="36" spans="1:5" x14ac:dyDescent="0.35">
      <c r="A36" t="s">
        <v>245</v>
      </c>
      <c r="B36" t="s">
        <v>245</v>
      </c>
      <c r="C36" t="s">
        <v>245</v>
      </c>
      <c r="D36" t="s">
        <v>245</v>
      </c>
      <c r="E36" t="b">
        <f t="shared" si="0"/>
        <v>1</v>
      </c>
    </row>
    <row r="37" spans="1:5" x14ac:dyDescent="0.35">
      <c r="A37" t="s">
        <v>244</v>
      </c>
      <c r="B37" t="s">
        <v>245</v>
      </c>
      <c r="C37" t="s">
        <v>245</v>
      </c>
      <c r="D37" t="s">
        <v>245</v>
      </c>
      <c r="E37" t="b">
        <f t="shared" si="0"/>
        <v>1</v>
      </c>
    </row>
    <row r="38" spans="1:5" x14ac:dyDescent="0.35">
      <c r="A38" t="s">
        <v>245</v>
      </c>
      <c r="B38" t="s">
        <v>245</v>
      </c>
      <c r="C38" t="s">
        <v>245</v>
      </c>
      <c r="D38" t="s">
        <v>245</v>
      </c>
      <c r="E38" t="b">
        <f t="shared" si="0"/>
        <v>1</v>
      </c>
    </row>
    <row r="39" spans="1:5" x14ac:dyDescent="0.35">
      <c r="A39" t="s">
        <v>245</v>
      </c>
      <c r="B39" t="s">
        <v>245</v>
      </c>
      <c r="C39" t="s">
        <v>245</v>
      </c>
      <c r="D39" t="s">
        <v>245</v>
      </c>
      <c r="E39" t="b">
        <f t="shared" si="0"/>
        <v>1</v>
      </c>
    </row>
    <row r="40" spans="1:5" x14ac:dyDescent="0.35">
      <c r="A40" t="s">
        <v>245</v>
      </c>
      <c r="B40" t="s">
        <v>245</v>
      </c>
      <c r="C40" t="s">
        <v>245</v>
      </c>
      <c r="D40" t="s">
        <v>245</v>
      </c>
      <c r="E40" t="b">
        <f t="shared" si="0"/>
        <v>1</v>
      </c>
    </row>
    <row r="41" spans="1:5" x14ac:dyDescent="0.35">
      <c r="A41" t="s">
        <v>245</v>
      </c>
      <c r="B41" t="s">
        <v>245</v>
      </c>
      <c r="C41" t="s">
        <v>245</v>
      </c>
      <c r="D41" t="s">
        <v>245</v>
      </c>
      <c r="E41" t="b">
        <f t="shared" si="0"/>
        <v>1</v>
      </c>
    </row>
    <row r="42" spans="1:5" x14ac:dyDescent="0.35">
      <c r="A42" t="s">
        <v>245</v>
      </c>
      <c r="B42" t="s">
        <v>245</v>
      </c>
      <c r="C42" t="s">
        <v>245</v>
      </c>
      <c r="D42" t="s">
        <v>245</v>
      </c>
      <c r="E42" t="b">
        <f t="shared" si="0"/>
        <v>1</v>
      </c>
    </row>
    <row r="43" spans="1:5" x14ac:dyDescent="0.35">
      <c r="A43" t="s">
        <v>245</v>
      </c>
      <c r="B43" t="s">
        <v>245</v>
      </c>
      <c r="C43" t="s">
        <v>245</v>
      </c>
      <c r="D43" t="s">
        <v>245</v>
      </c>
      <c r="E43" t="b">
        <f t="shared" si="0"/>
        <v>1</v>
      </c>
    </row>
    <row r="44" spans="1:5" x14ac:dyDescent="0.35">
      <c r="A44" t="s">
        <v>245</v>
      </c>
      <c r="B44" t="s">
        <v>245</v>
      </c>
      <c r="C44" t="s">
        <v>245</v>
      </c>
      <c r="D44" t="s">
        <v>245</v>
      </c>
      <c r="E44" t="b">
        <f t="shared" si="0"/>
        <v>1</v>
      </c>
    </row>
    <row r="45" spans="1:5" x14ac:dyDescent="0.35">
      <c r="A45" t="s">
        <v>244</v>
      </c>
      <c r="B45" t="s">
        <v>244</v>
      </c>
      <c r="C45" t="s">
        <v>244</v>
      </c>
      <c r="D45" t="s">
        <v>244</v>
      </c>
      <c r="E45" t="b">
        <f t="shared" si="0"/>
        <v>1</v>
      </c>
    </row>
    <row r="46" spans="1:5" x14ac:dyDescent="0.35">
      <c r="A46" t="s">
        <v>244</v>
      </c>
      <c r="B46" t="s">
        <v>245</v>
      </c>
      <c r="C46" t="s">
        <v>244</v>
      </c>
      <c r="D46" t="s">
        <v>245</v>
      </c>
      <c r="E46" t="b">
        <f t="shared" si="0"/>
        <v>1</v>
      </c>
    </row>
    <row r="47" spans="1:5" x14ac:dyDescent="0.35">
      <c r="A47" t="s">
        <v>244</v>
      </c>
      <c r="B47" t="s">
        <v>245</v>
      </c>
      <c r="C47" t="s">
        <v>244</v>
      </c>
      <c r="D47" t="s">
        <v>245</v>
      </c>
      <c r="E47" t="b">
        <f t="shared" si="0"/>
        <v>1</v>
      </c>
    </row>
    <row r="48" spans="1:5" x14ac:dyDescent="0.35">
      <c r="A48" t="s">
        <v>244</v>
      </c>
      <c r="B48" t="s">
        <v>245</v>
      </c>
      <c r="C48" t="s">
        <v>244</v>
      </c>
      <c r="D48" t="s">
        <v>245</v>
      </c>
      <c r="E48" t="b">
        <f t="shared" si="0"/>
        <v>1</v>
      </c>
    </row>
    <row r="49" spans="1:5" x14ac:dyDescent="0.35">
      <c r="A49" t="s">
        <v>244</v>
      </c>
      <c r="B49" t="s">
        <v>245</v>
      </c>
      <c r="C49" t="s">
        <v>244</v>
      </c>
      <c r="D49" t="s">
        <v>245</v>
      </c>
      <c r="E49" t="b">
        <f t="shared" si="0"/>
        <v>1</v>
      </c>
    </row>
    <row r="50" spans="1:5" x14ac:dyDescent="0.35">
      <c r="A50" t="s">
        <v>245</v>
      </c>
      <c r="B50" t="s">
        <v>245</v>
      </c>
      <c r="C50" t="s">
        <v>245</v>
      </c>
      <c r="D50" t="s">
        <v>245</v>
      </c>
      <c r="E50" t="b">
        <f t="shared" si="0"/>
        <v>1</v>
      </c>
    </row>
    <row r="51" spans="1:5" x14ac:dyDescent="0.35">
      <c r="A51" t="s">
        <v>245</v>
      </c>
      <c r="B51" t="s">
        <v>245</v>
      </c>
      <c r="C51" t="s">
        <v>245</v>
      </c>
      <c r="D51" t="s">
        <v>245</v>
      </c>
      <c r="E51" t="b">
        <f t="shared" si="0"/>
        <v>1</v>
      </c>
    </row>
    <row r="52" spans="1:5" x14ac:dyDescent="0.35">
      <c r="A52" t="s">
        <v>245</v>
      </c>
      <c r="B52" t="s">
        <v>245</v>
      </c>
      <c r="C52" t="s">
        <v>244</v>
      </c>
      <c r="D52" t="s">
        <v>245</v>
      </c>
      <c r="E52" t="b">
        <f t="shared" si="0"/>
        <v>1</v>
      </c>
    </row>
    <row r="53" spans="1:5" x14ac:dyDescent="0.35">
      <c r="A53" t="s">
        <v>245</v>
      </c>
      <c r="B53" t="s">
        <v>245</v>
      </c>
      <c r="C53" t="s">
        <v>244</v>
      </c>
      <c r="D53" t="s">
        <v>245</v>
      </c>
      <c r="E53" t="b">
        <f t="shared" si="0"/>
        <v>1</v>
      </c>
    </row>
    <row r="54" spans="1:5" x14ac:dyDescent="0.35">
      <c r="A54" t="s">
        <v>244</v>
      </c>
      <c r="B54" t="s">
        <v>245</v>
      </c>
      <c r="C54" t="s">
        <v>244</v>
      </c>
      <c r="D54" t="s">
        <v>245</v>
      </c>
      <c r="E54" t="b">
        <f t="shared" si="0"/>
        <v>1</v>
      </c>
    </row>
    <row r="55" spans="1:5" x14ac:dyDescent="0.35">
      <c r="A55" t="s">
        <v>245</v>
      </c>
      <c r="B55" t="s">
        <v>245</v>
      </c>
      <c r="C55" t="s">
        <v>245</v>
      </c>
      <c r="D55" t="s">
        <v>245</v>
      </c>
      <c r="E55" t="b">
        <f t="shared" si="0"/>
        <v>1</v>
      </c>
    </row>
    <row r="56" spans="1:5" x14ac:dyDescent="0.35">
      <c r="A56" t="s">
        <v>244</v>
      </c>
      <c r="B56" t="s">
        <v>245</v>
      </c>
      <c r="C56" t="s">
        <v>245</v>
      </c>
      <c r="D56" t="s">
        <v>245</v>
      </c>
      <c r="E56" t="b">
        <f t="shared" si="0"/>
        <v>1</v>
      </c>
    </row>
    <row r="57" spans="1:5" x14ac:dyDescent="0.35">
      <c r="A57" t="s">
        <v>244</v>
      </c>
      <c r="B57" t="s">
        <v>245</v>
      </c>
      <c r="C57" t="s">
        <v>244</v>
      </c>
      <c r="D57" t="s">
        <v>245</v>
      </c>
      <c r="E57" t="b">
        <f t="shared" si="0"/>
        <v>1</v>
      </c>
    </row>
    <row r="58" spans="1:5" x14ac:dyDescent="0.35">
      <c r="A58" t="s">
        <v>245</v>
      </c>
      <c r="B58" t="s">
        <v>245</v>
      </c>
      <c r="C58" t="s">
        <v>245</v>
      </c>
      <c r="D58" t="s">
        <v>245</v>
      </c>
      <c r="E58" t="b">
        <f t="shared" si="0"/>
        <v>1</v>
      </c>
    </row>
    <row r="59" spans="1:5" x14ac:dyDescent="0.35">
      <c r="A59" t="s">
        <v>245</v>
      </c>
      <c r="B59" t="s">
        <v>245</v>
      </c>
      <c r="C59" t="s">
        <v>244</v>
      </c>
      <c r="D59" t="s">
        <v>244</v>
      </c>
      <c r="E59" t="b">
        <f t="shared" si="0"/>
        <v>0</v>
      </c>
    </row>
    <row r="60" spans="1:5" x14ac:dyDescent="0.35">
      <c r="A60" t="s">
        <v>244</v>
      </c>
      <c r="B60" t="s">
        <v>245</v>
      </c>
      <c r="C60" t="s">
        <v>245</v>
      </c>
      <c r="D60" t="s">
        <v>245</v>
      </c>
      <c r="E60" t="b">
        <f t="shared" si="0"/>
        <v>1</v>
      </c>
    </row>
    <row r="61" spans="1:5" x14ac:dyDescent="0.35">
      <c r="A61" t="s">
        <v>245</v>
      </c>
      <c r="B61" t="s">
        <v>245</v>
      </c>
      <c r="C61" t="s">
        <v>245</v>
      </c>
      <c r="D61" t="s">
        <v>245</v>
      </c>
      <c r="E61" t="b">
        <f t="shared" si="0"/>
        <v>1</v>
      </c>
    </row>
    <row r="62" spans="1:5" x14ac:dyDescent="0.35">
      <c r="A62" t="s">
        <v>245</v>
      </c>
      <c r="B62" t="s">
        <v>245</v>
      </c>
      <c r="C62" t="s">
        <v>245</v>
      </c>
      <c r="D62" t="s">
        <v>245</v>
      </c>
      <c r="E62" t="b">
        <f t="shared" si="0"/>
        <v>1</v>
      </c>
    </row>
    <row r="63" spans="1:5" x14ac:dyDescent="0.35">
      <c r="A63" t="s">
        <v>244</v>
      </c>
      <c r="B63" t="s">
        <v>245</v>
      </c>
      <c r="C63" t="s">
        <v>245</v>
      </c>
      <c r="D63" t="s">
        <v>245</v>
      </c>
      <c r="E63" t="b">
        <f t="shared" si="0"/>
        <v>1</v>
      </c>
    </row>
    <row r="64" spans="1:5" x14ac:dyDescent="0.35">
      <c r="A64" t="s">
        <v>245</v>
      </c>
      <c r="B64" t="s">
        <v>245</v>
      </c>
      <c r="C64" t="s">
        <v>245</v>
      </c>
      <c r="D64" t="s">
        <v>245</v>
      </c>
      <c r="E64" t="b">
        <f t="shared" si="0"/>
        <v>1</v>
      </c>
    </row>
    <row r="65" spans="1:5" x14ac:dyDescent="0.35">
      <c r="A65" t="s">
        <v>244</v>
      </c>
      <c r="B65" t="s">
        <v>245</v>
      </c>
      <c r="C65" t="s">
        <v>244</v>
      </c>
      <c r="D65" t="s">
        <v>245</v>
      </c>
      <c r="E65" t="b">
        <f t="shared" si="0"/>
        <v>1</v>
      </c>
    </row>
    <row r="66" spans="1:5" x14ac:dyDescent="0.35">
      <c r="A66" t="s">
        <v>244</v>
      </c>
      <c r="B66" t="s">
        <v>245</v>
      </c>
      <c r="C66" t="s">
        <v>244</v>
      </c>
      <c r="D66" t="s">
        <v>245</v>
      </c>
      <c r="E66" t="b">
        <f t="shared" si="0"/>
        <v>1</v>
      </c>
    </row>
    <row r="67" spans="1:5" x14ac:dyDescent="0.35">
      <c r="A67" t="s">
        <v>245</v>
      </c>
      <c r="B67" t="s">
        <v>245</v>
      </c>
      <c r="C67" t="s">
        <v>245</v>
      </c>
      <c r="D67" t="s">
        <v>245</v>
      </c>
      <c r="E67" t="b">
        <f t="shared" si="0"/>
        <v>1</v>
      </c>
    </row>
    <row r="68" spans="1:5" x14ac:dyDescent="0.35">
      <c r="A68" t="s">
        <v>244</v>
      </c>
      <c r="B68" t="s">
        <v>245</v>
      </c>
      <c r="C68" t="s">
        <v>245</v>
      </c>
      <c r="D68" t="s">
        <v>245</v>
      </c>
      <c r="E68" t="b">
        <f t="shared" ref="E68:E131" si="1">B68=D68</f>
        <v>1</v>
      </c>
    </row>
    <row r="69" spans="1:5" x14ac:dyDescent="0.35">
      <c r="A69" t="s">
        <v>244</v>
      </c>
      <c r="B69" t="s">
        <v>245</v>
      </c>
      <c r="C69" t="s">
        <v>244</v>
      </c>
      <c r="D69" t="s">
        <v>245</v>
      </c>
      <c r="E69" t="b">
        <f t="shared" si="1"/>
        <v>1</v>
      </c>
    </row>
    <row r="70" spans="1:5" x14ac:dyDescent="0.35">
      <c r="A70" t="s">
        <v>244</v>
      </c>
      <c r="B70" t="s">
        <v>245</v>
      </c>
      <c r="C70" t="s">
        <v>245</v>
      </c>
      <c r="D70" t="s">
        <v>245</v>
      </c>
      <c r="E70" t="b">
        <f t="shared" si="1"/>
        <v>1</v>
      </c>
    </row>
    <row r="71" spans="1:5" x14ac:dyDescent="0.35">
      <c r="A71" t="s">
        <v>244</v>
      </c>
      <c r="B71" t="s">
        <v>245</v>
      </c>
      <c r="C71" t="s">
        <v>244</v>
      </c>
      <c r="D71" t="s">
        <v>245</v>
      </c>
      <c r="E71" t="b">
        <f t="shared" si="1"/>
        <v>1</v>
      </c>
    </row>
    <row r="72" spans="1:5" x14ac:dyDescent="0.35">
      <c r="A72" t="s">
        <v>245</v>
      </c>
      <c r="B72" t="s">
        <v>245</v>
      </c>
      <c r="C72" t="s">
        <v>245</v>
      </c>
      <c r="D72" t="s">
        <v>245</v>
      </c>
      <c r="E72" t="b">
        <f t="shared" si="1"/>
        <v>1</v>
      </c>
    </row>
    <row r="73" spans="1:5" x14ac:dyDescent="0.35">
      <c r="A73" t="s">
        <v>245</v>
      </c>
      <c r="B73" t="s">
        <v>245</v>
      </c>
      <c r="C73" t="s">
        <v>245</v>
      </c>
      <c r="D73" t="s">
        <v>245</v>
      </c>
      <c r="E73" t="b">
        <f t="shared" si="1"/>
        <v>1</v>
      </c>
    </row>
    <row r="74" spans="1:5" x14ac:dyDescent="0.35">
      <c r="A74" t="s">
        <v>245</v>
      </c>
      <c r="B74" t="s">
        <v>245</v>
      </c>
      <c r="C74" t="s">
        <v>245</v>
      </c>
      <c r="D74" t="s">
        <v>245</v>
      </c>
      <c r="E74" t="b">
        <f t="shared" si="1"/>
        <v>1</v>
      </c>
    </row>
    <row r="75" spans="1:5" x14ac:dyDescent="0.35">
      <c r="A75" t="s">
        <v>244</v>
      </c>
      <c r="B75" t="s">
        <v>245</v>
      </c>
      <c r="C75" t="s">
        <v>244</v>
      </c>
      <c r="D75" t="s">
        <v>245</v>
      </c>
      <c r="E75" t="b">
        <f t="shared" si="1"/>
        <v>1</v>
      </c>
    </row>
    <row r="76" spans="1:5" x14ac:dyDescent="0.35">
      <c r="A76" t="s">
        <v>244</v>
      </c>
      <c r="B76" t="s">
        <v>245</v>
      </c>
      <c r="C76" t="s">
        <v>244</v>
      </c>
      <c r="D76" t="s">
        <v>245</v>
      </c>
      <c r="E76" t="b">
        <f t="shared" si="1"/>
        <v>1</v>
      </c>
    </row>
    <row r="77" spans="1:5" x14ac:dyDescent="0.35">
      <c r="A77" t="s">
        <v>245</v>
      </c>
      <c r="B77" t="s">
        <v>245</v>
      </c>
      <c r="C77" t="s">
        <v>245</v>
      </c>
      <c r="D77" t="s">
        <v>245</v>
      </c>
      <c r="E77" t="b">
        <f t="shared" si="1"/>
        <v>1</v>
      </c>
    </row>
    <row r="78" spans="1:5" x14ac:dyDescent="0.35">
      <c r="A78" t="s">
        <v>245</v>
      </c>
      <c r="B78" t="s">
        <v>245</v>
      </c>
      <c r="C78" t="s">
        <v>245</v>
      </c>
      <c r="D78" t="s">
        <v>245</v>
      </c>
      <c r="E78" t="b">
        <f t="shared" si="1"/>
        <v>1</v>
      </c>
    </row>
    <row r="79" spans="1:5" x14ac:dyDescent="0.35">
      <c r="A79" t="s">
        <v>245</v>
      </c>
      <c r="B79" t="s">
        <v>245</v>
      </c>
      <c r="C79" t="s">
        <v>245</v>
      </c>
      <c r="D79" t="s">
        <v>245</v>
      </c>
      <c r="E79" t="b">
        <f t="shared" si="1"/>
        <v>1</v>
      </c>
    </row>
    <row r="80" spans="1:5" x14ac:dyDescent="0.35">
      <c r="A80" t="s">
        <v>245</v>
      </c>
      <c r="B80" t="s">
        <v>245</v>
      </c>
      <c r="C80" t="s">
        <v>245</v>
      </c>
      <c r="D80" t="s">
        <v>245</v>
      </c>
      <c r="E80" t="b">
        <f t="shared" si="1"/>
        <v>1</v>
      </c>
    </row>
    <row r="81" spans="1:5" x14ac:dyDescent="0.35">
      <c r="A81" t="s">
        <v>245</v>
      </c>
      <c r="B81" t="s">
        <v>245</v>
      </c>
      <c r="C81" t="s">
        <v>245</v>
      </c>
      <c r="D81" t="s">
        <v>245</v>
      </c>
      <c r="E81" t="b">
        <f t="shared" si="1"/>
        <v>1</v>
      </c>
    </row>
    <row r="82" spans="1:5" x14ac:dyDescent="0.35">
      <c r="A82" t="s">
        <v>245</v>
      </c>
      <c r="B82" t="s">
        <v>245</v>
      </c>
      <c r="C82" t="s">
        <v>244</v>
      </c>
      <c r="D82" t="s">
        <v>245</v>
      </c>
      <c r="E82" t="b">
        <f t="shared" si="1"/>
        <v>1</v>
      </c>
    </row>
    <row r="83" spans="1:5" x14ac:dyDescent="0.35">
      <c r="A83" t="s">
        <v>245</v>
      </c>
      <c r="B83" t="s">
        <v>245</v>
      </c>
      <c r="C83" t="s">
        <v>245</v>
      </c>
      <c r="D83" t="s">
        <v>245</v>
      </c>
      <c r="E83" t="b">
        <f t="shared" si="1"/>
        <v>1</v>
      </c>
    </row>
    <row r="84" spans="1:5" x14ac:dyDescent="0.35">
      <c r="A84" t="s">
        <v>244</v>
      </c>
      <c r="B84" t="s">
        <v>245</v>
      </c>
      <c r="C84" t="s">
        <v>244</v>
      </c>
      <c r="D84" t="s">
        <v>245</v>
      </c>
      <c r="E84" t="b">
        <f t="shared" si="1"/>
        <v>1</v>
      </c>
    </row>
    <row r="85" spans="1:5" x14ac:dyDescent="0.35">
      <c r="A85" t="s">
        <v>244</v>
      </c>
      <c r="B85" t="s">
        <v>245</v>
      </c>
      <c r="C85" t="s">
        <v>244</v>
      </c>
      <c r="D85" t="s">
        <v>245</v>
      </c>
      <c r="E85" t="b">
        <f t="shared" si="1"/>
        <v>1</v>
      </c>
    </row>
    <row r="86" spans="1:5" x14ac:dyDescent="0.35">
      <c r="A86" t="s">
        <v>244</v>
      </c>
      <c r="B86" t="s">
        <v>245</v>
      </c>
      <c r="C86" t="s">
        <v>244</v>
      </c>
      <c r="D86" t="s">
        <v>245</v>
      </c>
      <c r="E86" t="b">
        <f t="shared" si="1"/>
        <v>1</v>
      </c>
    </row>
    <row r="87" spans="1:5" x14ac:dyDescent="0.35">
      <c r="A87" t="s">
        <v>244</v>
      </c>
      <c r="B87" t="s">
        <v>245</v>
      </c>
      <c r="C87" t="s">
        <v>245</v>
      </c>
      <c r="D87" t="s">
        <v>245</v>
      </c>
      <c r="E87" t="b">
        <f t="shared" si="1"/>
        <v>1</v>
      </c>
    </row>
    <row r="88" spans="1:5" x14ac:dyDescent="0.35">
      <c r="A88" t="s">
        <v>244</v>
      </c>
      <c r="B88" t="s">
        <v>245</v>
      </c>
      <c r="C88" t="s">
        <v>245</v>
      </c>
      <c r="D88" t="s">
        <v>245</v>
      </c>
      <c r="E88" t="b">
        <f t="shared" si="1"/>
        <v>1</v>
      </c>
    </row>
    <row r="89" spans="1:5" x14ac:dyDescent="0.35">
      <c r="A89" t="s">
        <v>244</v>
      </c>
      <c r="B89" t="s">
        <v>245</v>
      </c>
      <c r="C89" t="s">
        <v>244</v>
      </c>
      <c r="D89" t="s">
        <v>245</v>
      </c>
      <c r="E89" t="b">
        <f t="shared" si="1"/>
        <v>1</v>
      </c>
    </row>
    <row r="90" spans="1:5" x14ac:dyDescent="0.35">
      <c r="A90" t="s">
        <v>245</v>
      </c>
      <c r="B90" t="s">
        <v>245</v>
      </c>
      <c r="C90" t="s">
        <v>245</v>
      </c>
      <c r="D90" t="s">
        <v>245</v>
      </c>
      <c r="E90" t="b">
        <f t="shared" si="1"/>
        <v>1</v>
      </c>
    </row>
    <row r="91" spans="1:5" x14ac:dyDescent="0.35">
      <c r="A91" t="s">
        <v>244</v>
      </c>
      <c r="B91" t="s">
        <v>245</v>
      </c>
      <c r="C91" t="s">
        <v>244</v>
      </c>
      <c r="D91" t="s">
        <v>245</v>
      </c>
      <c r="E91" t="b">
        <f t="shared" si="1"/>
        <v>1</v>
      </c>
    </row>
    <row r="92" spans="1:5" x14ac:dyDescent="0.35">
      <c r="A92" t="s">
        <v>245</v>
      </c>
      <c r="B92" t="s">
        <v>245</v>
      </c>
      <c r="C92" t="s">
        <v>245</v>
      </c>
      <c r="D92" t="s">
        <v>245</v>
      </c>
      <c r="E92" t="b">
        <f t="shared" si="1"/>
        <v>1</v>
      </c>
    </row>
    <row r="93" spans="1:5" x14ac:dyDescent="0.35">
      <c r="A93" t="s">
        <v>244</v>
      </c>
      <c r="B93" t="s">
        <v>245</v>
      </c>
      <c r="C93" t="s">
        <v>244</v>
      </c>
      <c r="D93" t="s">
        <v>245</v>
      </c>
      <c r="E93" t="b">
        <f t="shared" si="1"/>
        <v>1</v>
      </c>
    </row>
    <row r="94" spans="1:5" x14ac:dyDescent="0.35">
      <c r="A94" t="s">
        <v>244</v>
      </c>
      <c r="B94" t="s">
        <v>245</v>
      </c>
      <c r="C94" t="s">
        <v>244</v>
      </c>
      <c r="D94" t="s">
        <v>245</v>
      </c>
      <c r="E94" t="b">
        <f t="shared" si="1"/>
        <v>1</v>
      </c>
    </row>
    <row r="95" spans="1:5" x14ac:dyDescent="0.35">
      <c r="A95" t="s">
        <v>245</v>
      </c>
      <c r="B95" t="s">
        <v>245</v>
      </c>
      <c r="C95" t="s">
        <v>245</v>
      </c>
      <c r="D95" t="s">
        <v>245</v>
      </c>
      <c r="E95" t="b">
        <f t="shared" si="1"/>
        <v>1</v>
      </c>
    </row>
    <row r="96" spans="1:5" x14ac:dyDescent="0.35">
      <c r="A96" t="s">
        <v>245</v>
      </c>
      <c r="B96" t="s">
        <v>245</v>
      </c>
      <c r="C96" t="s">
        <v>245</v>
      </c>
      <c r="D96" t="s">
        <v>245</v>
      </c>
      <c r="E96" t="b">
        <f t="shared" si="1"/>
        <v>1</v>
      </c>
    </row>
    <row r="97" spans="1:5" x14ac:dyDescent="0.35">
      <c r="A97" t="s">
        <v>245</v>
      </c>
      <c r="B97" t="s">
        <v>245</v>
      </c>
      <c r="C97" t="s">
        <v>245</v>
      </c>
      <c r="D97" t="s">
        <v>245</v>
      </c>
      <c r="E97" t="b">
        <f t="shared" si="1"/>
        <v>1</v>
      </c>
    </row>
    <row r="98" spans="1:5" x14ac:dyDescent="0.35">
      <c r="A98" t="s">
        <v>245</v>
      </c>
      <c r="B98" t="s">
        <v>245</v>
      </c>
      <c r="C98" t="s">
        <v>245</v>
      </c>
      <c r="D98" t="s">
        <v>245</v>
      </c>
      <c r="E98" t="b">
        <f t="shared" si="1"/>
        <v>1</v>
      </c>
    </row>
    <row r="99" spans="1:5" x14ac:dyDescent="0.35">
      <c r="A99" t="s">
        <v>245</v>
      </c>
      <c r="B99" t="s">
        <v>245</v>
      </c>
      <c r="C99" t="s">
        <v>245</v>
      </c>
      <c r="D99" t="s">
        <v>245</v>
      </c>
      <c r="E99" t="b">
        <f t="shared" si="1"/>
        <v>1</v>
      </c>
    </row>
    <row r="100" spans="1:5" x14ac:dyDescent="0.35">
      <c r="A100" t="s">
        <v>245</v>
      </c>
      <c r="B100" t="s">
        <v>245</v>
      </c>
      <c r="C100" t="s">
        <v>245</v>
      </c>
      <c r="D100" t="s">
        <v>245</v>
      </c>
      <c r="E100" t="b">
        <f t="shared" si="1"/>
        <v>1</v>
      </c>
    </row>
    <row r="101" spans="1:5" x14ac:dyDescent="0.35">
      <c r="A101" t="s">
        <v>245</v>
      </c>
      <c r="B101" t="s">
        <v>245</v>
      </c>
      <c r="C101" t="s">
        <v>245</v>
      </c>
      <c r="D101" t="s">
        <v>245</v>
      </c>
      <c r="E101" t="b">
        <f t="shared" si="1"/>
        <v>1</v>
      </c>
    </row>
    <row r="102" spans="1:5" x14ac:dyDescent="0.35">
      <c r="A102" t="s">
        <v>245</v>
      </c>
      <c r="B102" t="s">
        <v>245</v>
      </c>
      <c r="C102" t="s">
        <v>245</v>
      </c>
      <c r="D102" t="s">
        <v>245</v>
      </c>
      <c r="E102" t="b">
        <f t="shared" si="1"/>
        <v>1</v>
      </c>
    </row>
    <row r="103" spans="1:5" x14ac:dyDescent="0.35">
      <c r="A103" t="s">
        <v>244</v>
      </c>
      <c r="B103" t="s">
        <v>245</v>
      </c>
      <c r="C103" t="s">
        <v>245</v>
      </c>
      <c r="D103" t="s">
        <v>245</v>
      </c>
      <c r="E103" t="b">
        <f t="shared" si="1"/>
        <v>1</v>
      </c>
    </row>
    <row r="104" spans="1:5" x14ac:dyDescent="0.35">
      <c r="A104" t="s">
        <v>244</v>
      </c>
      <c r="B104" t="s">
        <v>245</v>
      </c>
      <c r="C104" t="s">
        <v>245</v>
      </c>
      <c r="D104" t="s">
        <v>245</v>
      </c>
      <c r="E104" t="b">
        <f t="shared" si="1"/>
        <v>1</v>
      </c>
    </row>
    <row r="105" spans="1:5" x14ac:dyDescent="0.35">
      <c r="A105" t="s">
        <v>245</v>
      </c>
      <c r="B105" t="s">
        <v>245</v>
      </c>
      <c r="C105" t="s">
        <v>245</v>
      </c>
      <c r="D105" t="s">
        <v>245</v>
      </c>
      <c r="E105" t="b">
        <f t="shared" si="1"/>
        <v>1</v>
      </c>
    </row>
    <row r="106" spans="1:5" x14ac:dyDescent="0.35">
      <c r="A106" t="s">
        <v>245</v>
      </c>
      <c r="B106" t="s">
        <v>245</v>
      </c>
      <c r="C106" t="s">
        <v>244</v>
      </c>
      <c r="D106" t="s">
        <v>245</v>
      </c>
      <c r="E106" t="b">
        <f t="shared" si="1"/>
        <v>1</v>
      </c>
    </row>
    <row r="107" spans="1:5" x14ac:dyDescent="0.35">
      <c r="A107" t="s">
        <v>245</v>
      </c>
      <c r="B107" t="s">
        <v>245</v>
      </c>
      <c r="C107" t="s">
        <v>244</v>
      </c>
      <c r="D107" t="s">
        <v>245</v>
      </c>
      <c r="E107" t="b">
        <f t="shared" si="1"/>
        <v>1</v>
      </c>
    </row>
    <row r="108" spans="1:5" x14ac:dyDescent="0.35">
      <c r="A108" t="s">
        <v>245</v>
      </c>
      <c r="B108" t="s">
        <v>245</v>
      </c>
      <c r="C108" t="s">
        <v>244</v>
      </c>
      <c r="D108" t="s">
        <v>245</v>
      </c>
      <c r="E108" t="b">
        <f t="shared" si="1"/>
        <v>1</v>
      </c>
    </row>
    <row r="109" spans="1:5" x14ac:dyDescent="0.35">
      <c r="A109" t="s">
        <v>244</v>
      </c>
      <c r="B109" t="s">
        <v>245</v>
      </c>
      <c r="C109" t="s">
        <v>244</v>
      </c>
      <c r="D109" t="s">
        <v>245</v>
      </c>
      <c r="E109" t="b">
        <f t="shared" si="1"/>
        <v>1</v>
      </c>
    </row>
    <row r="110" spans="1:5" x14ac:dyDescent="0.35">
      <c r="A110" t="s">
        <v>244</v>
      </c>
      <c r="B110" t="s">
        <v>245</v>
      </c>
      <c r="C110" t="s">
        <v>244</v>
      </c>
      <c r="D110" t="s">
        <v>245</v>
      </c>
      <c r="E110" t="b">
        <f t="shared" si="1"/>
        <v>1</v>
      </c>
    </row>
    <row r="111" spans="1:5" x14ac:dyDescent="0.35">
      <c r="A111" t="s">
        <v>244</v>
      </c>
      <c r="B111" t="s">
        <v>245</v>
      </c>
      <c r="C111" t="s">
        <v>244</v>
      </c>
      <c r="D111" t="s">
        <v>245</v>
      </c>
      <c r="E111" t="b">
        <f t="shared" si="1"/>
        <v>1</v>
      </c>
    </row>
    <row r="112" spans="1:5" x14ac:dyDescent="0.35">
      <c r="A112" t="s">
        <v>244</v>
      </c>
      <c r="B112" t="s">
        <v>245</v>
      </c>
      <c r="C112" t="s">
        <v>244</v>
      </c>
      <c r="D112" t="s">
        <v>245</v>
      </c>
      <c r="E112" t="b">
        <f t="shared" si="1"/>
        <v>1</v>
      </c>
    </row>
    <row r="113" spans="1:5" x14ac:dyDescent="0.35">
      <c r="A113" t="s">
        <v>244</v>
      </c>
      <c r="B113" t="s">
        <v>244</v>
      </c>
      <c r="C113" t="s">
        <v>245</v>
      </c>
      <c r="D113" t="s">
        <v>245</v>
      </c>
      <c r="E113" t="b">
        <f t="shared" si="1"/>
        <v>0</v>
      </c>
    </row>
    <row r="114" spans="1:5" x14ac:dyDescent="0.35">
      <c r="A114" t="s">
        <v>245</v>
      </c>
      <c r="B114" t="s">
        <v>245</v>
      </c>
      <c r="C114" t="s">
        <v>245</v>
      </c>
      <c r="D114" t="s">
        <v>245</v>
      </c>
      <c r="E114" t="b">
        <f t="shared" si="1"/>
        <v>1</v>
      </c>
    </row>
    <row r="115" spans="1:5" x14ac:dyDescent="0.35">
      <c r="A115" t="s">
        <v>244</v>
      </c>
      <c r="B115" t="s">
        <v>245</v>
      </c>
      <c r="C115" t="s">
        <v>245</v>
      </c>
      <c r="D115" t="s">
        <v>245</v>
      </c>
      <c r="E115" t="b">
        <f t="shared" si="1"/>
        <v>1</v>
      </c>
    </row>
    <row r="116" spans="1:5" x14ac:dyDescent="0.35">
      <c r="A116" t="s">
        <v>244</v>
      </c>
      <c r="B116" t="s">
        <v>245</v>
      </c>
      <c r="C116" t="s">
        <v>245</v>
      </c>
      <c r="D116" t="s">
        <v>245</v>
      </c>
      <c r="E116" t="b">
        <f t="shared" si="1"/>
        <v>1</v>
      </c>
    </row>
    <row r="117" spans="1:5" x14ac:dyDescent="0.35">
      <c r="A117" t="s">
        <v>244</v>
      </c>
      <c r="B117" t="s">
        <v>245</v>
      </c>
      <c r="C117" t="s">
        <v>244</v>
      </c>
      <c r="D117" t="s">
        <v>245</v>
      </c>
      <c r="E117" t="b">
        <f t="shared" si="1"/>
        <v>1</v>
      </c>
    </row>
    <row r="118" spans="1:5" x14ac:dyDescent="0.35">
      <c r="A118" t="s">
        <v>245</v>
      </c>
      <c r="B118" t="s">
        <v>245</v>
      </c>
      <c r="C118" t="s">
        <v>245</v>
      </c>
      <c r="D118" t="s">
        <v>245</v>
      </c>
      <c r="E118" t="b">
        <f t="shared" si="1"/>
        <v>1</v>
      </c>
    </row>
    <row r="119" spans="1:5" x14ac:dyDescent="0.35">
      <c r="A119" t="s">
        <v>245</v>
      </c>
      <c r="B119" t="s">
        <v>245</v>
      </c>
      <c r="C119" t="s">
        <v>245</v>
      </c>
      <c r="D119" t="s">
        <v>245</v>
      </c>
      <c r="E119" t="b">
        <f t="shared" si="1"/>
        <v>1</v>
      </c>
    </row>
    <row r="120" spans="1:5" x14ac:dyDescent="0.35">
      <c r="A120" t="s">
        <v>245</v>
      </c>
      <c r="B120" t="s">
        <v>245</v>
      </c>
      <c r="C120" t="s">
        <v>244</v>
      </c>
      <c r="D120" t="s">
        <v>244</v>
      </c>
      <c r="E120" t="b">
        <f t="shared" si="1"/>
        <v>0</v>
      </c>
    </row>
    <row r="121" spans="1:5" x14ac:dyDescent="0.35">
      <c r="A121" t="s">
        <v>245</v>
      </c>
      <c r="B121" t="s">
        <v>245</v>
      </c>
      <c r="C121" t="s">
        <v>245</v>
      </c>
      <c r="D121" t="s">
        <v>245</v>
      </c>
      <c r="E121" t="b">
        <f t="shared" si="1"/>
        <v>1</v>
      </c>
    </row>
    <row r="122" spans="1:5" x14ac:dyDescent="0.35">
      <c r="A122" t="s">
        <v>245</v>
      </c>
      <c r="B122" t="s">
        <v>245</v>
      </c>
      <c r="C122" t="s">
        <v>244</v>
      </c>
      <c r="D122" t="s">
        <v>245</v>
      </c>
      <c r="E122" t="b">
        <f t="shared" si="1"/>
        <v>1</v>
      </c>
    </row>
    <row r="123" spans="1:5" x14ac:dyDescent="0.35">
      <c r="A123" t="s">
        <v>244</v>
      </c>
      <c r="B123" t="s">
        <v>245</v>
      </c>
      <c r="C123" t="s">
        <v>245</v>
      </c>
      <c r="D123" t="s">
        <v>245</v>
      </c>
      <c r="E123" t="b">
        <f t="shared" si="1"/>
        <v>1</v>
      </c>
    </row>
    <row r="124" spans="1:5" x14ac:dyDescent="0.35">
      <c r="A124" t="s">
        <v>245</v>
      </c>
      <c r="B124" t="s">
        <v>245</v>
      </c>
      <c r="C124" t="s">
        <v>245</v>
      </c>
      <c r="D124" t="s">
        <v>245</v>
      </c>
      <c r="E124" t="b">
        <f t="shared" si="1"/>
        <v>1</v>
      </c>
    </row>
    <row r="125" spans="1:5" x14ac:dyDescent="0.35">
      <c r="A125" t="s">
        <v>245</v>
      </c>
      <c r="B125" t="s">
        <v>245</v>
      </c>
      <c r="C125" t="s">
        <v>245</v>
      </c>
      <c r="D125" t="s">
        <v>245</v>
      </c>
      <c r="E125" t="b">
        <f t="shared" si="1"/>
        <v>1</v>
      </c>
    </row>
    <row r="126" spans="1:5" x14ac:dyDescent="0.35">
      <c r="A126" t="s">
        <v>245</v>
      </c>
      <c r="B126" t="s">
        <v>245</v>
      </c>
      <c r="C126" t="s">
        <v>245</v>
      </c>
      <c r="D126" t="s">
        <v>245</v>
      </c>
      <c r="E126" t="b">
        <f t="shared" si="1"/>
        <v>1</v>
      </c>
    </row>
    <row r="127" spans="1:5" x14ac:dyDescent="0.35">
      <c r="A127" t="s">
        <v>245</v>
      </c>
      <c r="B127" t="s">
        <v>245</v>
      </c>
      <c r="C127" t="s">
        <v>245</v>
      </c>
      <c r="D127" t="s">
        <v>245</v>
      </c>
      <c r="E127" t="b">
        <f t="shared" si="1"/>
        <v>1</v>
      </c>
    </row>
    <row r="128" spans="1:5" x14ac:dyDescent="0.35">
      <c r="A128" t="s">
        <v>245</v>
      </c>
      <c r="B128" t="s">
        <v>245</v>
      </c>
      <c r="C128" t="s">
        <v>245</v>
      </c>
      <c r="D128" t="s">
        <v>245</v>
      </c>
      <c r="E128" t="b">
        <f t="shared" si="1"/>
        <v>1</v>
      </c>
    </row>
    <row r="129" spans="1:5" x14ac:dyDescent="0.35">
      <c r="A129" t="s">
        <v>245</v>
      </c>
      <c r="B129" t="s">
        <v>245</v>
      </c>
      <c r="C129" t="s">
        <v>245</v>
      </c>
      <c r="D129" t="s">
        <v>245</v>
      </c>
      <c r="E129" t="b">
        <f t="shared" si="1"/>
        <v>1</v>
      </c>
    </row>
    <row r="130" spans="1:5" x14ac:dyDescent="0.35">
      <c r="A130" t="s">
        <v>245</v>
      </c>
      <c r="B130" t="s">
        <v>245</v>
      </c>
      <c r="C130" t="s">
        <v>245</v>
      </c>
      <c r="D130" t="s">
        <v>245</v>
      </c>
      <c r="E130" t="b">
        <f t="shared" si="1"/>
        <v>1</v>
      </c>
    </row>
    <row r="131" spans="1:5" x14ac:dyDescent="0.35">
      <c r="A131" t="s">
        <v>244</v>
      </c>
      <c r="B131" t="s">
        <v>245</v>
      </c>
      <c r="C131" t="s">
        <v>245</v>
      </c>
      <c r="D131" t="s">
        <v>245</v>
      </c>
      <c r="E131" t="b">
        <f t="shared" si="1"/>
        <v>1</v>
      </c>
    </row>
    <row r="132" spans="1:5" x14ac:dyDescent="0.35">
      <c r="A132" t="s">
        <v>245</v>
      </c>
      <c r="B132" t="s">
        <v>245</v>
      </c>
      <c r="C132" t="s">
        <v>244</v>
      </c>
      <c r="D132" t="s">
        <v>244</v>
      </c>
      <c r="E132" t="b">
        <f t="shared" ref="E132:E153" si="2">B132=D132</f>
        <v>0</v>
      </c>
    </row>
    <row r="133" spans="1:5" x14ac:dyDescent="0.35">
      <c r="A133" t="s">
        <v>245</v>
      </c>
      <c r="B133" t="s">
        <v>245</v>
      </c>
      <c r="C133" t="s">
        <v>244</v>
      </c>
      <c r="D133" t="s">
        <v>245</v>
      </c>
      <c r="E133" t="b">
        <f t="shared" si="2"/>
        <v>1</v>
      </c>
    </row>
    <row r="134" spans="1:5" x14ac:dyDescent="0.35">
      <c r="A134" t="s">
        <v>245</v>
      </c>
      <c r="B134" t="s">
        <v>245</v>
      </c>
      <c r="C134" t="s">
        <v>244</v>
      </c>
      <c r="D134" t="s">
        <v>245</v>
      </c>
      <c r="E134" t="b">
        <f t="shared" si="2"/>
        <v>1</v>
      </c>
    </row>
    <row r="135" spans="1:5" x14ac:dyDescent="0.35">
      <c r="A135" t="s">
        <v>244</v>
      </c>
      <c r="B135" t="s">
        <v>245</v>
      </c>
      <c r="C135" t="s">
        <v>245</v>
      </c>
      <c r="D135" t="s">
        <v>245</v>
      </c>
      <c r="E135" t="b">
        <f t="shared" si="2"/>
        <v>1</v>
      </c>
    </row>
    <row r="136" spans="1:5" x14ac:dyDescent="0.35">
      <c r="A136" t="s">
        <v>244</v>
      </c>
      <c r="B136" t="s">
        <v>245</v>
      </c>
      <c r="C136" t="s">
        <v>244</v>
      </c>
      <c r="D136" t="s">
        <v>245</v>
      </c>
      <c r="E136" t="b">
        <f t="shared" si="2"/>
        <v>1</v>
      </c>
    </row>
    <row r="137" spans="1:5" x14ac:dyDescent="0.35">
      <c r="A137" t="s">
        <v>245</v>
      </c>
      <c r="B137" t="s">
        <v>245</v>
      </c>
      <c r="C137" t="s">
        <v>245</v>
      </c>
      <c r="D137" t="s">
        <v>245</v>
      </c>
      <c r="E137" t="b">
        <f t="shared" si="2"/>
        <v>1</v>
      </c>
    </row>
    <row r="138" spans="1:5" x14ac:dyDescent="0.35">
      <c r="A138" t="s">
        <v>245</v>
      </c>
      <c r="B138" t="s">
        <v>245</v>
      </c>
      <c r="C138" t="s">
        <v>244</v>
      </c>
      <c r="D138" t="s">
        <v>245</v>
      </c>
      <c r="E138" t="b">
        <f t="shared" si="2"/>
        <v>1</v>
      </c>
    </row>
    <row r="139" spans="1:5" x14ac:dyDescent="0.35">
      <c r="A139" t="s">
        <v>245</v>
      </c>
      <c r="B139" t="s">
        <v>245</v>
      </c>
      <c r="C139" t="s">
        <v>244</v>
      </c>
      <c r="D139" t="s">
        <v>245</v>
      </c>
      <c r="E139" t="b">
        <f t="shared" si="2"/>
        <v>1</v>
      </c>
    </row>
    <row r="140" spans="1:5" x14ac:dyDescent="0.35">
      <c r="A140" t="s">
        <v>245</v>
      </c>
      <c r="B140" t="s">
        <v>245</v>
      </c>
      <c r="C140" t="s">
        <v>245</v>
      </c>
      <c r="D140" t="s">
        <v>245</v>
      </c>
      <c r="E140" t="b">
        <f t="shared" si="2"/>
        <v>1</v>
      </c>
    </row>
    <row r="141" spans="1:5" x14ac:dyDescent="0.35">
      <c r="A141" t="s">
        <v>245</v>
      </c>
      <c r="B141" t="s">
        <v>245</v>
      </c>
      <c r="C141" t="s">
        <v>245</v>
      </c>
      <c r="D141" t="s">
        <v>245</v>
      </c>
      <c r="E141" t="b">
        <f t="shared" si="2"/>
        <v>1</v>
      </c>
    </row>
    <row r="142" spans="1:5" x14ac:dyDescent="0.35">
      <c r="A142" t="s">
        <v>245</v>
      </c>
      <c r="B142" t="s">
        <v>245</v>
      </c>
      <c r="C142" t="s">
        <v>244</v>
      </c>
      <c r="D142" t="s">
        <v>245</v>
      </c>
      <c r="E142" t="b">
        <f t="shared" si="2"/>
        <v>1</v>
      </c>
    </row>
    <row r="143" spans="1:5" x14ac:dyDescent="0.35">
      <c r="A143" t="s">
        <v>245</v>
      </c>
      <c r="B143" t="s">
        <v>245</v>
      </c>
      <c r="C143" t="s">
        <v>245</v>
      </c>
      <c r="D143" t="s">
        <v>245</v>
      </c>
      <c r="E143" t="b">
        <f t="shared" si="2"/>
        <v>1</v>
      </c>
    </row>
    <row r="144" spans="1:5" x14ac:dyDescent="0.35">
      <c r="A144" t="s">
        <v>245</v>
      </c>
      <c r="B144" t="s">
        <v>245</v>
      </c>
      <c r="C144" t="s">
        <v>244</v>
      </c>
      <c r="D144" t="s">
        <v>245</v>
      </c>
      <c r="E144" t="b">
        <f t="shared" si="2"/>
        <v>1</v>
      </c>
    </row>
    <row r="145" spans="1:5" x14ac:dyDescent="0.35">
      <c r="A145" t="s">
        <v>245</v>
      </c>
      <c r="B145" t="s">
        <v>245</v>
      </c>
      <c r="C145" t="s">
        <v>245</v>
      </c>
      <c r="D145" t="s">
        <v>245</v>
      </c>
      <c r="E145" t="b">
        <f t="shared" si="2"/>
        <v>1</v>
      </c>
    </row>
    <row r="146" spans="1:5" x14ac:dyDescent="0.35">
      <c r="A146" t="s">
        <v>245</v>
      </c>
      <c r="B146" t="s">
        <v>245</v>
      </c>
      <c r="C146" t="s">
        <v>245</v>
      </c>
      <c r="D146" t="s">
        <v>245</v>
      </c>
      <c r="E146" t="b">
        <f t="shared" si="2"/>
        <v>1</v>
      </c>
    </row>
    <row r="147" spans="1:5" x14ac:dyDescent="0.35">
      <c r="A147" t="s">
        <v>245</v>
      </c>
      <c r="B147" t="s">
        <v>245</v>
      </c>
      <c r="C147" t="s">
        <v>245</v>
      </c>
      <c r="D147" t="s">
        <v>245</v>
      </c>
      <c r="E147" t="b">
        <f t="shared" si="2"/>
        <v>1</v>
      </c>
    </row>
    <row r="148" spans="1:5" x14ac:dyDescent="0.35">
      <c r="A148" t="s">
        <v>245</v>
      </c>
      <c r="B148" t="s">
        <v>245</v>
      </c>
      <c r="C148" t="s">
        <v>245</v>
      </c>
      <c r="D148" t="s">
        <v>245</v>
      </c>
      <c r="E148" t="b">
        <f t="shared" si="2"/>
        <v>1</v>
      </c>
    </row>
    <row r="149" spans="1:5" x14ac:dyDescent="0.35">
      <c r="A149" t="s">
        <v>245</v>
      </c>
      <c r="B149" t="s">
        <v>245</v>
      </c>
      <c r="C149" t="s">
        <v>245</v>
      </c>
      <c r="D149" t="s">
        <v>245</v>
      </c>
      <c r="E149" t="b">
        <f t="shared" si="2"/>
        <v>1</v>
      </c>
    </row>
    <row r="150" spans="1:5" x14ac:dyDescent="0.35">
      <c r="A150" t="s">
        <v>245</v>
      </c>
      <c r="B150" t="s">
        <v>245</v>
      </c>
      <c r="C150" t="s">
        <v>245</v>
      </c>
      <c r="D150" t="s">
        <v>245</v>
      </c>
      <c r="E150" t="b">
        <f t="shared" si="2"/>
        <v>1</v>
      </c>
    </row>
    <row r="151" spans="1:5" x14ac:dyDescent="0.35">
      <c r="A151" t="s">
        <v>244</v>
      </c>
      <c r="B151" t="s">
        <v>244</v>
      </c>
      <c r="C151" t="s">
        <v>244</v>
      </c>
      <c r="D151" t="s">
        <v>245</v>
      </c>
      <c r="E151" t="b">
        <f t="shared" si="2"/>
        <v>0</v>
      </c>
    </row>
    <row r="152" spans="1:5" x14ac:dyDescent="0.35">
      <c r="A152" t="s">
        <v>244</v>
      </c>
      <c r="B152" t="s">
        <v>244</v>
      </c>
      <c r="C152" t="s">
        <v>244</v>
      </c>
      <c r="D152" t="s">
        <v>245</v>
      </c>
      <c r="E152" t="b">
        <f t="shared" si="2"/>
        <v>0</v>
      </c>
    </row>
    <row r="153" spans="1:5" x14ac:dyDescent="0.35">
      <c r="A153" t="s">
        <v>244</v>
      </c>
      <c r="B153" t="s">
        <v>244</v>
      </c>
      <c r="C153" t="s">
        <v>244</v>
      </c>
      <c r="D153" t="s">
        <v>245</v>
      </c>
      <c r="E153" t="b">
        <f t="shared" si="2"/>
        <v>0</v>
      </c>
    </row>
  </sheetData>
  <sheetProtection formatCells="0" formatColumns="0" formatRows="0" insertColumns="0" insertRows="0" insertHyperlinks="0" deleteColumns="0" deleteRows="0" sort="0" autoFilter="0" pivotTables="0"/>
  <autoFilter ref="A2:E153" xr:uid="{C532DD5D-04D9-48CC-8B39-F02A4097550C}"/>
  <mergeCells count="4">
    <mergeCell ref="A1:B1"/>
    <mergeCell ref="C1:D1"/>
    <mergeCell ref="F1:H1"/>
    <mergeCell ref="P2:Q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E22F0-B53A-4BE1-BD71-45702E7B1D5A}">
  <dimension ref="A1:L155"/>
  <sheetViews>
    <sheetView zoomScale="90" zoomScaleNormal="90" workbookViewId="0">
      <selection activeCell="P27" sqref="P27"/>
    </sheetView>
  </sheetViews>
  <sheetFormatPr baseColWidth="10" defaultRowHeight="14.5" x14ac:dyDescent="0.35"/>
  <sheetData>
    <row r="1" spans="1:12" x14ac:dyDescent="0.35">
      <c r="A1" s="203"/>
      <c r="B1" s="203"/>
      <c r="C1" s="203"/>
      <c r="D1" s="203"/>
    </row>
    <row r="2" spans="1:12" x14ac:dyDescent="0.35">
      <c r="B2" s="206" t="s">
        <v>390</v>
      </c>
      <c r="C2" s="206"/>
      <c r="D2" s="207" t="s">
        <v>461</v>
      </c>
      <c r="E2" s="207"/>
    </row>
    <row r="3" spans="1:12" ht="29" x14ac:dyDescent="0.35">
      <c r="B3" t="s">
        <v>460</v>
      </c>
      <c r="C3" t="s">
        <v>462</v>
      </c>
      <c r="D3" t="s">
        <v>460</v>
      </c>
      <c r="E3" t="s">
        <v>462</v>
      </c>
      <c r="I3" s="143" t="s">
        <v>463</v>
      </c>
      <c r="J3" s="143" t="s">
        <v>464</v>
      </c>
      <c r="K3" s="143" t="s">
        <v>465</v>
      </c>
      <c r="L3" s="143" t="s">
        <v>466</v>
      </c>
    </row>
    <row r="4" spans="1:12" x14ac:dyDescent="0.35">
      <c r="A4" t="s">
        <v>283</v>
      </c>
      <c r="B4" t="s">
        <v>407</v>
      </c>
      <c r="C4" t="s">
        <v>61</v>
      </c>
      <c r="D4" t="s">
        <v>407</v>
      </c>
      <c r="E4" t="s">
        <v>408</v>
      </c>
      <c r="H4" s="124" t="s">
        <v>59</v>
      </c>
      <c r="I4">
        <f>COUNTIF($B$4:$B$155,H4)</f>
        <v>0</v>
      </c>
      <c r="J4">
        <f>COUNTIF($D$4:D$155,H4)</f>
        <v>0</v>
      </c>
      <c r="K4">
        <f>COUNTIF($C$4:C$155,H4)</f>
        <v>1</v>
      </c>
      <c r="L4">
        <f>COUNTIF($E$4:E$155,H4)</f>
        <v>7</v>
      </c>
    </row>
    <row r="5" spans="1:12" x14ac:dyDescent="0.35">
      <c r="A5" t="s">
        <v>284</v>
      </c>
      <c r="B5" t="s">
        <v>407</v>
      </c>
      <c r="C5" t="s">
        <v>408</v>
      </c>
      <c r="D5" t="s">
        <v>61</v>
      </c>
      <c r="E5" t="s">
        <v>408</v>
      </c>
      <c r="H5" s="124" t="s">
        <v>60</v>
      </c>
      <c r="I5">
        <f t="shared" ref="I5:I8" si="0">COUNTIF($B$4:$B$155,H5)</f>
        <v>0</v>
      </c>
      <c r="J5">
        <f>COUNTIF($D$4:D$155,H5)</f>
        <v>0</v>
      </c>
      <c r="K5">
        <f>COUNTIF($C$4:C$155,H5)</f>
        <v>82</v>
      </c>
      <c r="L5">
        <f>COUNTIF($E$4:E$155,H5)</f>
        <v>76</v>
      </c>
    </row>
    <row r="6" spans="1:12" x14ac:dyDescent="0.35">
      <c r="A6" t="s">
        <v>285</v>
      </c>
      <c r="B6" t="s">
        <v>407</v>
      </c>
      <c r="C6" t="s">
        <v>408</v>
      </c>
      <c r="D6" t="s">
        <v>407</v>
      </c>
      <c r="E6" t="s">
        <v>408</v>
      </c>
      <c r="H6" t="s">
        <v>61</v>
      </c>
      <c r="I6">
        <f t="shared" si="0"/>
        <v>2</v>
      </c>
      <c r="J6">
        <f>COUNTIF($D$4:D$155,H6)</f>
        <v>3</v>
      </c>
      <c r="K6">
        <f>COUNTIF($C$4:C$155,H6)</f>
        <v>58</v>
      </c>
      <c r="L6">
        <f>COUNTIF($E$4:E$155,H6)</f>
        <v>65</v>
      </c>
    </row>
    <row r="7" spans="1:12" x14ac:dyDescent="0.35">
      <c r="A7" t="s">
        <v>286</v>
      </c>
      <c r="B7" t="s">
        <v>63</v>
      </c>
      <c r="C7" t="s">
        <v>61</v>
      </c>
      <c r="D7" t="s">
        <v>63</v>
      </c>
      <c r="E7" t="s">
        <v>61</v>
      </c>
      <c r="H7" t="s">
        <v>407</v>
      </c>
      <c r="I7">
        <f t="shared" si="0"/>
        <v>101</v>
      </c>
      <c r="J7">
        <f>COUNTIF($D$4:D$155,H7)</f>
        <v>103</v>
      </c>
      <c r="K7">
        <f>COUNTIF($C$4:C$155,H7)</f>
        <v>2</v>
      </c>
      <c r="L7">
        <f>COUNTIF($E$4:E$155,H7)</f>
        <v>4</v>
      </c>
    </row>
    <row r="8" spans="1:12" x14ac:dyDescent="0.35">
      <c r="A8" t="s">
        <v>287</v>
      </c>
      <c r="B8" t="s">
        <v>407</v>
      </c>
      <c r="C8" t="s">
        <v>408</v>
      </c>
      <c r="D8" t="s">
        <v>407</v>
      </c>
      <c r="E8" t="s">
        <v>61</v>
      </c>
      <c r="H8" t="s">
        <v>63</v>
      </c>
      <c r="I8">
        <f t="shared" si="0"/>
        <v>42</v>
      </c>
      <c r="J8">
        <f>COUNTIF($D$4:D$155,H8)</f>
        <v>46</v>
      </c>
      <c r="K8">
        <f>COUNTIF($C$4:C$155,H8)</f>
        <v>2</v>
      </c>
      <c r="L8">
        <f>COUNTIF($E$4:E$155,H8)</f>
        <v>0</v>
      </c>
    </row>
    <row r="9" spans="1:12" x14ac:dyDescent="0.35">
      <c r="A9" t="s">
        <v>288</v>
      </c>
      <c r="B9" t="s">
        <v>407</v>
      </c>
      <c r="C9" t="s">
        <v>61</v>
      </c>
      <c r="D9" t="s">
        <v>407</v>
      </c>
      <c r="E9" t="s">
        <v>408</v>
      </c>
    </row>
    <row r="10" spans="1:12" x14ac:dyDescent="0.35">
      <c r="A10" t="s">
        <v>289</v>
      </c>
      <c r="B10" t="s">
        <v>63</v>
      </c>
      <c r="C10" t="s">
        <v>61</v>
      </c>
      <c r="D10" t="s">
        <v>63</v>
      </c>
      <c r="E10" t="s">
        <v>61</v>
      </c>
    </row>
    <row r="11" spans="1:12" x14ac:dyDescent="0.35">
      <c r="A11" t="s">
        <v>290</v>
      </c>
      <c r="B11" t="s">
        <v>63</v>
      </c>
      <c r="C11" t="s">
        <v>61</v>
      </c>
      <c r="D11" t="s">
        <v>63</v>
      </c>
      <c r="E11" t="s">
        <v>61</v>
      </c>
    </row>
    <row r="12" spans="1:12" x14ac:dyDescent="0.35">
      <c r="A12" t="s">
        <v>291</v>
      </c>
      <c r="B12" t="s">
        <v>63</v>
      </c>
      <c r="C12" t="s">
        <v>61</v>
      </c>
      <c r="D12" t="s">
        <v>63</v>
      </c>
      <c r="E12" t="s">
        <v>61</v>
      </c>
    </row>
    <row r="13" spans="1:12" x14ac:dyDescent="0.35">
      <c r="A13" t="s">
        <v>292</v>
      </c>
      <c r="B13" t="s">
        <v>407</v>
      </c>
      <c r="C13" t="s">
        <v>408</v>
      </c>
      <c r="D13" t="s">
        <v>407</v>
      </c>
      <c r="E13" t="s">
        <v>408</v>
      </c>
    </row>
    <row r="14" spans="1:12" x14ac:dyDescent="0.35">
      <c r="A14" t="s">
        <v>293</v>
      </c>
      <c r="B14" t="s">
        <v>63</v>
      </c>
      <c r="C14" t="s">
        <v>61</v>
      </c>
      <c r="D14" t="s">
        <v>63</v>
      </c>
      <c r="E14" t="s">
        <v>61</v>
      </c>
    </row>
    <row r="15" spans="1:12" x14ac:dyDescent="0.35">
      <c r="A15" t="s">
        <v>294</v>
      </c>
      <c r="B15" t="s">
        <v>63</v>
      </c>
      <c r="C15" t="s">
        <v>61</v>
      </c>
      <c r="D15" t="s">
        <v>63</v>
      </c>
      <c r="E15" t="s">
        <v>61</v>
      </c>
    </row>
    <row r="16" spans="1:12" x14ac:dyDescent="0.35">
      <c r="A16" t="s">
        <v>296</v>
      </c>
      <c r="B16" t="s">
        <v>63</v>
      </c>
      <c r="C16" t="s">
        <v>408</v>
      </c>
      <c r="D16" t="s">
        <v>63</v>
      </c>
      <c r="E16" t="s">
        <v>408</v>
      </c>
    </row>
    <row r="17" spans="1:5" x14ac:dyDescent="0.35">
      <c r="A17" t="s">
        <v>297</v>
      </c>
      <c r="B17" t="s">
        <v>63</v>
      </c>
      <c r="C17" t="s">
        <v>61</v>
      </c>
      <c r="D17" t="s">
        <v>63</v>
      </c>
      <c r="E17" t="s">
        <v>61</v>
      </c>
    </row>
    <row r="18" spans="1:5" x14ac:dyDescent="0.35">
      <c r="A18" t="s">
        <v>298</v>
      </c>
      <c r="B18" t="s">
        <v>63</v>
      </c>
      <c r="C18" t="s">
        <v>61</v>
      </c>
      <c r="D18" t="s">
        <v>63</v>
      </c>
      <c r="E18" t="s">
        <v>61</v>
      </c>
    </row>
    <row r="19" spans="1:5" x14ac:dyDescent="0.35">
      <c r="A19" t="s">
        <v>299</v>
      </c>
      <c r="B19" t="s">
        <v>407</v>
      </c>
      <c r="C19" t="s">
        <v>61</v>
      </c>
      <c r="D19" t="s">
        <v>407</v>
      </c>
      <c r="E19" t="s">
        <v>61</v>
      </c>
    </row>
    <row r="20" spans="1:5" x14ac:dyDescent="0.35">
      <c r="A20" t="s">
        <v>300</v>
      </c>
      <c r="B20" t="s">
        <v>63</v>
      </c>
      <c r="C20" t="s">
        <v>61</v>
      </c>
      <c r="D20" t="s">
        <v>63</v>
      </c>
      <c r="E20" t="s">
        <v>61</v>
      </c>
    </row>
    <row r="21" spans="1:5" x14ac:dyDescent="0.35">
      <c r="A21" t="s">
        <v>301</v>
      </c>
      <c r="B21" t="s">
        <v>63</v>
      </c>
      <c r="C21" t="s">
        <v>61</v>
      </c>
      <c r="D21" t="s">
        <v>63</v>
      </c>
      <c r="E21" t="s">
        <v>61</v>
      </c>
    </row>
    <row r="22" spans="1:5" x14ac:dyDescent="0.35">
      <c r="A22" t="s">
        <v>307</v>
      </c>
      <c r="B22" t="e">
        <v>#N/A</v>
      </c>
      <c r="C22" t="e">
        <v>#N/A</v>
      </c>
      <c r="D22" t="s">
        <v>63</v>
      </c>
      <c r="E22" t="s">
        <v>61</v>
      </c>
    </row>
    <row r="23" spans="1:5" x14ac:dyDescent="0.35">
      <c r="A23" t="s">
        <v>302</v>
      </c>
      <c r="B23" t="s">
        <v>63</v>
      </c>
      <c r="C23" t="s">
        <v>61</v>
      </c>
      <c r="D23" t="s">
        <v>63</v>
      </c>
      <c r="E23" t="s">
        <v>61</v>
      </c>
    </row>
    <row r="24" spans="1:5" x14ac:dyDescent="0.35">
      <c r="A24" t="s">
        <v>303</v>
      </c>
      <c r="B24" t="s">
        <v>63</v>
      </c>
      <c r="C24" t="s">
        <v>61</v>
      </c>
      <c r="D24" t="s">
        <v>63</v>
      </c>
      <c r="E24" t="s">
        <v>61</v>
      </c>
    </row>
    <row r="25" spans="1:5" x14ac:dyDescent="0.35">
      <c r="A25" t="s">
        <v>304</v>
      </c>
      <c r="B25" t="s">
        <v>63</v>
      </c>
      <c r="C25" t="s">
        <v>61</v>
      </c>
      <c r="D25" t="s">
        <v>63</v>
      </c>
      <c r="E25" t="s">
        <v>61</v>
      </c>
    </row>
    <row r="26" spans="1:5" x14ac:dyDescent="0.35">
      <c r="A26" t="s">
        <v>305</v>
      </c>
      <c r="B26" t="s">
        <v>63</v>
      </c>
      <c r="C26" t="s">
        <v>61</v>
      </c>
      <c r="D26" t="s">
        <v>63</v>
      </c>
      <c r="E26" t="s">
        <v>61</v>
      </c>
    </row>
    <row r="27" spans="1:5" x14ac:dyDescent="0.35">
      <c r="A27" t="s">
        <v>306</v>
      </c>
      <c r="B27" t="s">
        <v>63</v>
      </c>
      <c r="C27" t="s">
        <v>61</v>
      </c>
      <c r="D27" t="s">
        <v>63</v>
      </c>
      <c r="E27" t="s">
        <v>61</v>
      </c>
    </row>
    <row r="28" spans="1:5" x14ac:dyDescent="0.35">
      <c r="A28" t="s">
        <v>308</v>
      </c>
      <c r="B28" t="s">
        <v>407</v>
      </c>
      <c r="C28" t="s">
        <v>408</v>
      </c>
      <c r="D28" t="s">
        <v>407</v>
      </c>
      <c r="E28" t="s">
        <v>61</v>
      </c>
    </row>
    <row r="29" spans="1:5" x14ac:dyDescent="0.35">
      <c r="A29" t="s">
        <v>309</v>
      </c>
      <c r="B29" t="s">
        <v>407</v>
      </c>
      <c r="C29" t="s">
        <v>59</v>
      </c>
      <c r="D29" t="s">
        <v>407</v>
      </c>
      <c r="E29" t="s">
        <v>61</v>
      </c>
    </row>
    <row r="30" spans="1:5" x14ac:dyDescent="0.35">
      <c r="A30" t="s">
        <v>310</v>
      </c>
      <c r="B30" t="s">
        <v>407</v>
      </c>
      <c r="C30" t="s">
        <v>408</v>
      </c>
      <c r="D30" t="s">
        <v>407</v>
      </c>
      <c r="E30" t="s">
        <v>408</v>
      </c>
    </row>
    <row r="31" spans="1:5" x14ac:dyDescent="0.35">
      <c r="A31" t="s">
        <v>311</v>
      </c>
      <c r="B31" t="s">
        <v>407</v>
      </c>
      <c r="C31" t="s">
        <v>408</v>
      </c>
      <c r="D31" t="s">
        <v>407</v>
      </c>
      <c r="E31" t="s">
        <v>408</v>
      </c>
    </row>
    <row r="32" spans="1:5" x14ac:dyDescent="0.35">
      <c r="A32" t="s">
        <v>312</v>
      </c>
      <c r="B32" t="e">
        <v>#VALUE!</v>
      </c>
      <c r="C32" t="e">
        <v>#VALUE!</v>
      </c>
      <c r="D32" t="s">
        <v>407</v>
      </c>
      <c r="E32" t="s">
        <v>61</v>
      </c>
    </row>
    <row r="33" spans="1:5" x14ac:dyDescent="0.35">
      <c r="A33" t="s">
        <v>313</v>
      </c>
      <c r="B33" t="e">
        <v>#VALUE!</v>
      </c>
      <c r="C33" t="e">
        <v>#VALUE!</v>
      </c>
      <c r="D33" t="s">
        <v>407</v>
      </c>
      <c r="E33" t="s">
        <v>61</v>
      </c>
    </row>
    <row r="34" spans="1:5" x14ac:dyDescent="0.35">
      <c r="A34" t="s">
        <v>314</v>
      </c>
      <c r="B34" t="e">
        <v>#VALUE!</v>
      </c>
      <c r="C34" t="e">
        <v>#VALUE!</v>
      </c>
      <c r="D34" t="s">
        <v>407</v>
      </c>
      <c r="E34" t="s">
        <v>61</v>
      </c>
    </row>
    <row r="35" spans="1:5" x14ac:dyDescent="0.35">
      <c r="A35" t="s">
        <v>315</v>
      </c>
      <c r="B35" t="s">
        <v>63</v>
      </c>
      <c r="C35" t="s">
        <v>408</v>
      </c>
      <c r="D35" t="s">
        <v>407</v>
      </c>
      <c r="E35" t="s">
        <v>61</v>
      </c>
    </row>
    <row r="36" spans="1:5" x14ac:dyDescent="0.35">
      <c r="A36" t="s">
        <v>316</v>
      </c>
      <c r="B36" t="s">
        <v>63</v>
      </c>
      <c r="C36" t="s">
        <v>408</v>
      </c>
      <c r="D36" t="s">
        <v>63</v>
      </c>
      <c r="E36" t="s">
        <v>408</v>
      </c>
    </row>
    <row r="37" spans="1:5" x14ac:dyDescent="0.35">
      <c r="A37" t="s">
        <v>317</v>
      </c>
      <c r="B37" t="s">
        <v>63</v>
      </c>
      <c r="C37" t="s">
        <v>61</v>
      </c>
      <c r="D37" t="s">
        <v>63</v>
      </c>
      <c r="E37" t="s">
        <v>408</v>
      </c>
    </row>
    <row r="38" spans="1:5" x14ac:dyDescent="0.35">
      <c r="A38" t="s">
        <v>318</v>
      </c>
      <c r="B38" t="s">
        <v>407</v>
      </c>
      <c r="C38" t="s">
        <v>408</v>
      </c>
      <c r="D38" t="s">
        <v>63</v>
      </c>
      <c r="E38" t="s">
        <v>408</v>
      </c>
    </row>
    <row r="39" spans="1:5" x14ac:dyDescent="0.35">
      <c r="A39" t="s">
        <v>319</v>
      </c>
      <c r="B39" t="s">
        <v>407</v>
      </c>
      <c r="C39" t="s">
        <v>408</v>
      </c>
      <c r="D39" t="s">
        <v>407</v>
      </c>
      <c r="E39" t="s">
        <v>408</v>
      </c>
    </row>
    <row r="40" spans="1:5" x14ac:dyDescent="0.35">
      <c r="A40" t="s">
        <v>320</v>
      </c>
      <c r="B40" t="s">
        <v>407</v>
      </c>
      <c r="C40" t="s">
        <v>408</v>
      </c>
      <c r="D40" t="s">
        <v>407</v>
      </c>
      <c r="E40" t="s">
        <v>408</v>
      </c>
    </row>
    <row r="41" spans="1:5" x14ac:dyDescent="0.35">
      <c r="A41" t="s">
        <v>321</v>
      </c>
      <c r="B41" t="s">
        <v>407</v>
      </c>
      <c r="C41" t="s">
        <v>408</v>
      </c>
      <c r="D41" t="s">
        <v>407</v>
      </c>
      <c r="E41" t="s">
        <v>408</v>
      </c>
    </row>
    <row r="42" spans="1:5" x14ac:dyDescent="0.35">
      <c r="A42" t="s">
        <v>322</v>
      </c>
      <c r="B42" t="s">
        <v>407</v>
      </c>
      <c r="C42" t="s">
        <v>408</v>
      </c>
      <c r="D42" t="s">
        <v>407</v>
      </c>
      <c r="E42" t="s">
        <v>408</v>
      </c>
    </row>
    <row r="43" spans="1:5" x14ac:dyDescent="0.35">
      <c r="A43" t="s">
        <v>323</v>
      </c>
      <c r="B43" t="s">
        <v>407</v>
      </c>
      <c r="C43" t="s">
        <v>408</v>
      </c>
      <c r="D43" t="s">
        <v>407</v>
      </c>
      <c r="E43" t="s">
        <v>408</v>
      </c>
    </row>
    <row r="44" spans="1:5" x14ac:dyDescent="0.35">
      <c r="A44" t="s">
        <v>324</v>
      </c>
      <c r="B44" t="s">
        <v>407</v>
      </c>
      <c r="C44" t="s">
        <v>408</v>
      </c>
      <c r="D44" t="s">
        <v>407</v>
      </c>
      <c r="E44" t="s">
        <v>408</v>
      </c>
    </row>
    <row r="45" spans="1:5" x14ac:dyDescent="0.35">
      <c r="A45" t="s">
        <v>325</v>
      </c>
      <c r="B45" t="s">
        <v>407</v>
      </c>
      <c r="C45" t="s">
        <v>61</v>
      </c>
      <c r="D45" t="s">
        <v>407</v>
      </c>
      <c r="E45" t="s">
        <v>408</v>
      </c>
    </row>
    <row r="46" spans="1:5" x14ac:dyDescent="0.35">
      <c r="A46" t="s">
        <v>326</v>
      </c>
      <c r="B46" t="s">
        <v>407</v>
      </c>
      <c r="C46" t="s">
        <v>407</v>
      </c>
      <c r="D46" t="s">
        <v>407</v>
      </c>
      <c r="E46" t="s">
        <v>407</v>
      </c>
    </row>
    <row r="47" spans="1:5" x14ac:dyDescent="0.35">
      <c r="A47" t="s">
        <v>327</v>
      </c>
      <c r="B47" t="s">
        <v>63</v>
      </c>
      <c r="C47" t="s">
        <v>61</v>
      </c>
      <c r="D47" t="s">
        <v>63</v>
      </c>
      <c r="E47" t="s">
        <v>61</v>
      </c>
    </row>
    <row r="48" spans="1:5" x14ac:dyDescent="0.35">
      <c r="A48" t="s">
        <v>328</v>
      </c>
      <c r="B48" t="s">
        <v>63</v>
      </c>
      <c r="C48" t="s">
        <v>61</v>
      </c>
      <c r="D48" t="s">
        <v>63</v>
      </c>
      <c r="E48" t="s">
        <v>61</v>
      </c>
    </row>
    <row r="49" spans="1:5" x14ac:dyDescent="0.35">
      <c r="A49" t="s">
        <v>329</v>
      </c>
      <c r="B49" t="s">
        <v>63</v>
      </c>
      <c r="C49" t="s">
        <v>61</v>
      </c>
      <c r="D49" t="s">
        <v>63</v>
      </c>
      <c r="E49" t="s">
        <v>61</v>
      </c>
    </row>
    <row r="50" spans="1:5" x14ac:dyDescent="0.35">
      <c r="A50" t="s">
        <v>330</v>
      </c>
      <c r="B50" t="s">
        <v>63</v>
      </c>
      <c r="C50" t="s">
        <v>61</v>
      </c>
      <c r="D50" t="s">
        <v>63</v>
      </c>
      <c r="E50" t="s">
        <v>61</v>
      </c>
    </row>
    <row r="51" spans="1:5" x14ac:dyDescent="0.35">
      <c r="A51" t="s">
        <v>331</v>
      </c>
      <c r="B51" t="s">
        <v>61</v>
      </c>
      <c r="C51" t="s">
        <v>408</v>
      </c>
      <c r="D51" t="s">
        <v>61</v>
      </c>
      <c r="E51" t="s">
        <v>408</v>
      </c>
    </row>
    <row r="52" spans="1:5" x14ac:dyDescent="0.35">
      <c r="A52" t="s">
        <v>332</v>
      </c>
      <c r="B52" t="s">
        <v>61</v>
      </c>
      <c r="C52" t="s">
        <v>408</v>
      </c>
      <c r="D52" t="s">
        <v>61</v>
      </c>
      <c r="E52" t="s">
        <v>59</v>
      </c>
    </row>
    <row r="53" spans="1:5" x14ac:dyDescent="0.35">
      <c r="A53" t="s">
        <v>333</v>
      </c>
      <c r="B53" t="s">
        <v>407</v>
      </c>
      <c r="C53" t="s">
        <v>408</v>
      </c>
      <c r="D53" t="s">
        <v>407</v>
      </c>
      <c r="E53" t="s">
        <v>61</v>
      </c>
    </row>
    <row r="54" spans="1:5" x14ac:dyDescent="0.35">
      <c r="A54" t="s">
        <v>334</v>
      </c>
      <c r="B54" t="s">
        <v>63</v>
      </c>
      <c r="C54" t="s">
        <v>408</v>
      </c>
      <c r="D54" t="s">
        <v>63</v>
      </c>
      <c r="E54" t="s">
        <v>61</v>
      </c>
    </row>
    <row r="55" spans="1:5" x14ac:dyDescent="0.35">
      <c r="A55" t="s">
        <v>335</v>
      </c>
      <c r="B55" t="s">
        <v>63</v>
      </c>
      <c r="C55" t="s">
        <v>61</v>
      </c>
      <c r="D55" t="s">
        <v>63</v>
      </c>
      <c r="E55" t="s">
        <v>61</v>
      </c>
    </row>
    <row r="56" spans="1:5" x14ac:dyDescent="0.35">
      <c r="A56" t="s">
        <v>336</v>
      </c>
      <c r="D56" t="s">
        <v>407</v>
      </c>
      <c r="E56" t="s">
        <v>408</v>
      </c>
    </row>
    <row r="57" spans="1:5" x14ac:dyDescent="0.35">
      <c r="A57" t="s">
        <v>337</v>
      </c>
      <c r="B57" t="s">
        <v>407</v>
      </c>
      <c r="C57" t="s">
        <v>61</v>
      </c>
      <c r="D57" t="s">
        <v>407</v>
      </c>
      <c r="E57" t="s">
        <v>408</v>
      </c>
    </row>
    <row r="58" spans="1:5" x14ac:dyDescent="0.35">
      <c r="A58" t="s">
        <v>338</v>
      </c>
      <c r="B58" t="s">
        <v>63</v>
      </c>
      <c r="C58" t="s">
        <v>61</v>
      </c>
      <c r="D58" t="s">
        <v>63</v>
      </c>
      <c r="E58" t="s">
        <v>61</v>
      </c>
    </row>
    <row r="59" spans="1:5" x14ac:dyDescent="0.35">
      <c r="A59" t="s">
        <v>339</v>
      </c>
      <c r="B59" t="s">
        <v>407</v>
      </c>
      <c r="C59" t="s">
        <v>408</v>
      </c>
      <c r="D59" t="s">
        <v>407</v>
      </c>
      <c r="E59" t="s">
        <v>408</v>
      </c>
    </row>
    <row r="60" spans="1:5" x14ac:dyDescent="0.35">
      <c r="A60" t="s">
        <v>340</v>
      </c>
      <c r="B60" t="s">
        <v>407</v>
      </c>
      <c r="C60" t="s">
        <v>408</v>
      </c>
      <c r="D60" t="s">
        <v>407</v>
      </c>
      <c r="E60" t="s">
        <v>407</v>
      </c>
    </row>
    <row r="61" spans="1:5" x14ac:dyDescent="0.35">
      <c r="A61" t="s">
        <v>341</v>
      </c>
      <c r="B61" t="s">
        <v>407</v>
      </c>
      <c r="C61" t="s">
        <v>61</v>
      </c>
      <c r="D61" t="s">
        <v>407</v>
      </c>
      <c r="E61" t="s">
        <v>408</v>
      </c>
    </row>
    <row r="62" spans="1:5" x14ac:dyDescent="0.35">
      <c r="A62" t="s">
        <v>342</v>
      </c>
      <c r="B62" t="s">
        <v>407</v>
      </c>
      <c r="C62" t="s">
        <v>408</v>
      </c>
      <c r="D62" t="s">
        <v>407</v>
      </c>
      <c r="E62" t="s">
        <v>408</v>
      </c>
    </row>
    <row r="63" spans="1:5" x14ac:dyDescent="0.35">
      <c r="A63" t="s">
        <v>343</v>
      </c>
      <c r="B63" t="s">
        <v>407</v>
      </c>
      <c r="C63" t="s">
        <v>408</v>
      </c>
      <c r="D63" t="s">
        <v>407</v>
      </c>
      <c r="E63" t="s">
        <v>408</v>
      </c>
    </row>
    <row r="64" spans="1:5" x14ac:dyDescent="0.35">
      <c r="A64" t="s">
        <v>344</v>
      </c>
      <c r="B64" t="s">
        <v>407</v>
      </c>
      <c r="C64" t="s">
        <v>61</v>
      </c>
      <c r="D64" t="s">
        <v>407</v>
      </c>
      <c r="E64" t="s">
        <v>408</v>
      </c>
    </row>
    <row r="65" spans="1:5" x14ac:dyDescent="0.35">
      <c r="A65" t="s">
        <v>345</v>
      </c>
      <c r="B65" t="s">
        <v>407</v>
      </c>
      <c r="C65" t="s">
        <v>408</v>
      </c>
      <c r="D65" t="s">
        <v>407</v>
      </c>
      <c r="E65" t="s">
        <v>408</v>
      </c>
    </row>
    <row r="66" spans="1:5" x14ac:dyDescent="0.35">
      <c r="A66" t="s">
        <v>346</v>
      </c>
      <c r="B66" t="s">
        <v>63</v>
      </c>
      <c r="C66" t="s">
        <v>61</v>
      </c>
      <c r="D66" t="s">
        <v>63</v>
      </c>
      <c r="E66" t="s">
        <v>61</v>
      </c>
    </row>
    <row r="67" spans="1:5" x14ac:dyDescent="0.35">
      <c r="A67" t="s">
        <v>347</v>
      </c>
      <c r="B67" t="s">
        <v>63</v>
      </c>
      <c r="C67" t="s">
        <v>61</v>
      </c>
      <c r="D67" t="s">
        <v>63</v>
      </c>
      <c r="E67" t="s">
        <v>61</v>
      </c>
    </row>
    <row r="68" spans="1:5" x14ac:dyDescent="0.35">
      <c r="A68" t="s">
        <v>348</v>
      </c>
      <c r="B68" t="s">
        <v>63</v>
      </c>
      <c r="C68" t="s">
        <v>408</v>
      </c>
      <c r="D68" t="s">
        <v>63</v>
      </c>
      <c r="E68" t="s">
        <v>408</v>
      </c>
    </row>
    <row r="69" spans="1:5" x14ac:dyDescent="0.35">
      <c r="A69" t="s">
        <v>349</v>
      </c>
      <c r="B69" t="s">
        <v>407</v>
      </c>
      <c r="C69" t="s">
        <v>61</v>
      </c>
      <c r="D69" t="s">
        <v>407</v>
      </c>
      <c r="E69" t="s">
        <v>408</v>
      </c>
    </row>
    <row r="70" spans="1:5" x14ac:dyDescent="0.35">
      <c r="A70" t="s">
        <v>350</v>
      </c>
      <c r="B70" t="s">
        <v>407</v>
      </c>
      <c r="C70" t="s">
        <v>61</v>
      </c>
      <c r="D70" t="s">
        <v>407</v>
      </c>
      <c r="E70" t="s">
        <v>61</v>
      </c>
    </row>
    <row r="71" spans="1:5" x14ac:dyDescent="0.35">
      <c r="A71" t="s">
        <v>351</v>
      </c>
      <c r="B71" t="s">
        <v>407</v>
      </c>
      <c r="C71" t="s">
        <v>61</v>
      </c>
      <c r="D71" t="s">
        <v>407</v>
      </c>
      <c r="E71" t="s">
        <v>408</v>
      </c>
    </row>
    <row r="72" spans="1:5" x14ac:dyDescent="0.35">
      <c r="A72" t="s">
        <v>352</v>
      </c>
      <c r="B72" t="s">
        <v>63</v>
      </c>
      <c r="C72" t="s">
        <v>61</v>
      </c>
      <c r="D72" t="s">
        <v>63</v>
      </c>
      <c r="E72" t="s">
        <v>61</v>
      </c>
    </row>
    <row r="73" spans="1:5" x14ac:dyDescent="0.35">
      <c r="A73" t="s">
        <v>353</v>
      </c>
      <c r="B73" t="s">
        <v>407</v>
      </c>
      <c r="C73" t="s">
        <v>408</v>
      </c>
      <c r="D73" t="s">
        <v>407</v>
      </c>
      <c r="E73" t="s">
        <v>408</v>
      </c>
    </row>
    <row r="74" spans="1:5" x14ac:dyDescent="0.35">
      <c r="A74" t="s">
        <v>354</v>
      </c>
      <c r="B74" t="s">
        <v>407</v>
      </c>
      <c r="C74" t="s">
        <v>408</v>
      </c>
      <c r="D74" t="s">
        <v>407</v>
      </c>
      <c r="E74" t="s">
        <v>59</v>
      </c>
    </row>
    <row r="75" spans="1:5" x14ac:dyDescent="0.35">
      <c r="A75" t="s">
        <v>355</v>
      </c>
      <c r="B75" t="s">
        <v>407</v>
      </c>
      <c r="C75" t="s">
        <v>408</v>
      </c>
      <c r="D75" t="s">
        <v>407</v>
      </c>
      <c r="E75" t="s">
        <v>59</v>
      </c>
    </row>
    <row r="76" spans="1:5" x14ac:dyDescent="0.35">
      <c r="A76" t="s">
        <v>356</v>
      </c>
      <c r="B76" t="s">
        <v>407</v>
      </c>
      <c r="C76" t="s">
        <v>61</v>
      </c>
      <c r="D76" t="s">
        <v>407</v>
      </c>
      <c r="E76" t="s">
        <v>61</v>
      </c>
    </row>
    <row r="77" spans="1:5" x14ac:dyDescent="0.35">
      <c r="A77" t="s">
        <v>357</v>
      </c>
      <c r="B77" t="s">
        <v>407</v>
      </c>
      <c r="C77" t="s">
        <v>61</v>
      </c>
      <c r="D77" t="s">
        <v>407</v>
      </c>
      <c r="E77" t="s">
        <v>61</v>
      </c>
    </row>
    <row r="78" spans="1:5" x14ac:dyDescent="0.35">
      <c r="A78" t="s">
        <v>358</v>
      </c>
      <c r="B78" t="s">
        <v>407</v>
      </c>
      <c r="C78" t="s">
        <v>408</v>
      </c>
      <c r="D78" t="s">
        <v>407</v>
      </c>
      <c r="E78" t="s">
        <v>408</v>
      </c>
    </row>
    <row r="79" spans="1:5" x14ac:dyDescent="0.35">
      <c r="A79" t="s">
        <v>359</v>
      </c>
      <c r="B79" t="s">
        <v>407</v>
      </c>
      <c r="C79" t="s">
        <v>408</v>
      </c>
      <c r="D79" t="s">
        <v>407</v>
      </c>
      <c r="E79" t="s">
        <v>59</v>
      </c>
    </row>
    <row r="80" spans="1:5" x14ac:dyDescent="0.35">
      <c r="A80" t="s">
        <v>360</v>
      </c>
      <c r="B80" t="s">
        <v>407</v>
      </c>
      <c r="C80" t="s">
        <v>408</v>
      </c>
      <c r="D80" t="s">
        <v>407</v>
      </c>
      <c r="E80" t="s">
        <v>408</v>
      </c>
    </row>
    <row r="81" spans="1:5" x14ac:dyDescent="0.35">
      <c r="A81" t="s">
        <v>361</v>
      </c>
      <c r="B81" t="s">
        <v>407</v>
      </c>
      <c r="C81" t="s">
        <v>408</v>
      </c>
      <c r="D81" t="s">
        <v>407</v>
      </c>
      <c r="E81" t="s">
        <v>408</v>
      </c>
    </row>
    <row r="82" spans="1:5" x14ac:dyDescent="0.35">
      <c r="A82" t="s">
        <v>362</v>
      </c>
      <c r="B82" t="s">
        <v>407</v>
      </c>
      <c r="C82" t="s">
        <v>408</v>
      </c>
      <c r="D82" t="s">
        <v>407</v>
      </c>
      <c r="E82" t="s">
        <v>408</v>
      </c>
    </row>
    <row r="83" spans="1:5" x14ac:dyDescent="0.35">
      <c r="A83" t="s">
        <v>363</v>
      </c>
      <c r="B83" t="s">
        <v>407</v>
      </c>
      <c r="C83" t="s">
        <v>408</v>
      </c>
      <c r="D83" t="s">
        <v>407</v>
      </c>
      <c r="E83" t="s">
        <v>61</v>
      </c>
    </row>
    <row r="84" spans="1:5" x14ac:dyDescent="0.35">
      <c r="A84" t="s">
        <v>364</v>
      </c>
      <c r="B84" t="s">
        <v>407</v>
      </c>
      <c r="C84" t="s">
        <v>408</v>
      </c>
      <c r="D84" t="s">
        <v>407</v>
      </c>
      <c r="E84" t="s">
        <v>408</v>
      </c>
    </row>
    <row r="85" spans="1:5" x14ac:dyDescent="0.35">
      <c r="A85" t="s">
        <v>365</v>
      </c>
      <c r="B85" t="s">
        <v>63</v>
      </c>
      <c r="C85" t="s">
        <v>61</v>
      </c>
      <c r="D85" t="s">
        <v>63</v>
      </c>
      <c r="E85" t="s">
        <v>61</v>
      </c>
    </row>
    <row r="86" spans="1:5" x14ac:dyDescent="0.35">
      <c r="A86" t="s">
        <v>366</v>
      </c>
      <c r="B86" t="s">
        <v>63</v>
      </c>
      <c r="C86" t="s">
        <v>61</v>
      </c>
      <c r="D86" t="s">
        <v>63</v>
      </c>
      <c r="E86" t="s">
        <v>61</v>
      </c>
    </row>
    <row r="87" spans="1:5" x14ac:dyDescent="0.35">
      <c r="A87" t="s">
        <v>367</v>
      </c>
      <c r="B87" t="s">
        <v>63</v>
      </c>
      <c r="C87" t="s">
        <v>61</v>
      </c>
      <c r="D87" t="s">
        <v>63</v>
      </c>
      <c r="E87" t="s">
        <v>61</v>
      </c>
    </row>
    <row r="88" spans="1:5" x14ac:dyDescent="0.35">
      <c r="A88" t="s">
        <v>368</v>
      </c>
      <c r="B88" t="s">
        <v>407</v>
      </c>
      <c r="C88" t="s">
        <v>61</v>
      </c>
      <c r="D88" t="s">
        <v>407</v>
      </c>
      <c r="E88" t="s">
        <v>408</v>
      </c>
    </row>
    <row r="89" spans="1:5" x14ac:dyDescent="0.35">
      <c r="A89" t="s">
        <v>369</v>
      </c>
      <c r="B89" t="s">
        <v>407</v>
      </c>
      <c r="C89" t="s">
        <v>61</v>
      </c>
      <c r="D89" t="s">
        <v>407</v>
      </c>
      <c r="E89" t="s">
        <v>408</v>
      </c>
    </row>
    <row r="90" spans="1:5" x14ac:dyDescent="0.35">
      <c r="A90" t="s">
        <v>370</v>
      </c>
      <c r="B90" t="s">
        <v>63</v>
      </c>
      <c r="C90" t="s">
        <v>61</v>
      </c>
      <c r="D90" t="s">
        <v>63</v>
      </c>
      <c r="E90" t="s">
        <v>61</v>
      </c>
    </row>
    <row r="91" spans="1:5" x14ac:dyDescent="0.35">
      <c r="A91" t="s">
        <v>371</v>
      </c>
      <c r="B91" t="s">
        <v>63</v>
      </c>
      <c r="C91" t="s">
        <v>408</v>
      </c>
      <c r="D91" t="s">
        <v>63</v>
      </c>
      <c r="E91" t="s">
        <v>408</v>
      </c>
    </row>
    <row r="92" spans="1:5" x14ac:dyDescent="0.35">
      <c r="A92" t="s">
        <v>372</v>
      </c>
      <c r="B92" t="s">
        <v>63</v>
      </c>
      <c r="C92" t="s">
        <v>61</v>
      </c>
      <c r="D92" t="s">
        <v>63</v>
      </c>
      <c r="E92" t="s">
        <v>61</v>
      </c>
    </row>
    <row r="93" spans="1:5" x14ac:dyDescent="0.35">
      <c r="A93" t="s">
        <v>373</v>
      </c>
      <c r="B93" t="s">
        <v>407</v>
      </c>
      <c r="C93" t="s">
        <v>408</v>
      </c>
      <c r="D93" t="s">
        <v>407</v>
      </c>
      <c r="E93" t="s">
        <v>408</v>
      </c>
    </row>
    <row r="94" spans="1:5" x14ac:dyDescent="0.35">
      <c r="A94" t="s">
        <v>374</v>
      </c>
      <c r="B94" t="s">
        <v>63</v>
      </c>
      <c r="C94" t="s">
        <v>61</v>
      </c>
      <c r="D94" t="s">
        <v>63</v>
      </c>
      <c r="E94" t="s">
        <v>61</v>
      </c>
    </row>
    <row r="95" spans="1:5" x14ac:dyDescent="0.35">
      <c r="A95" t="s">
        <v>294</v>
      </c>
      <c r="B95" t="s">
        <v>63</v>
      </c>
      <c r="C95" t="s">
        <v>61</v>
      </c>
      <c r="D95" t="s">
        <v>63</v>
      </c>
      <c r="E95" t="s">
        <v>61</v>
      </c>
    </row>
    <row r="96" spans="1:5" x14ac:dyDescent="0.35">
      <c r="A96" t="s">
        <v>399</v>
      </c>
      <c r="B96" t="s">
        <v>407</v>
      </c>
      <c r="C96" t="s">
        <v>408</v>
      </c>
      <c r="D96" t="s">
        <v>407</v>
      </c>
      <c r="E96" t="s">
        <v>408</v>
      </c>
    </row>
    <row r="97" spans="1:5" x14ac:dyDescent="0.35">
      <c r="A97" t="s">
        <v>400</v>
      </c>
      <c r="B97" t="s">
        <v>407</v>
      </c>
      <c r="C97" t="s">
        <v>408</v>
      </c>
      <c r="D97" t="s">
        <v>407</v>
      </c>
      <c r="E97" t="s">
        <v>408</v>
      </c>
    </row>
    <row r="98" spans="1:5" x14ac:dyDescent="0.35">
      <c r="A98" t="s">
        <v>401</v>
      </c>
      <c r="B98" t="s">
        <v>407</v>
      </c>
      <c r="C98" t="s">
        <v>408</v>
      </c>
      <c r="D98" t="s">
        <v>407</v>
      </c>
      <c r="E98" t="s">
        <v>408</v>
      </c>
    </row>
    <row r="99" spans="1:5" x14ac:dyDescent="0.35">
      <c r="A99" t="s">
        <v>402</v>
      </c>
      <c r="B99" t="s">
        <v>407</v>
      </c>
      <c r="C99" t="s">
        <v>408</v>
      </c>
      <c r="D99" t="s">
        <v>407</v>
      </c>
      <c r="E99" t="s">
        <v>408</v>
      </c>
    </row>
    <row r="100" spans="1:5" x14ac:dyDescent="0.35">
      <c r="A100" t="s">
        <v>403</v>
      </c>
      <c r="B100" t="s">
        <v>407</v>
      </c>
      <c r="C100" t="s">
        <v>408</v>
      </c>
      <c r="D100" t="s">
        <v>407</v>
      </c>
      <c r="E100" t="s">
        <v>408</v>
      </c>
    </row>
    <row r="101" spans="1:5" x14ac:dyDescent="0.35">
      <c r="A101" t="s">
        <v>404</v>
      </c>
      <c r="B101" t="s">
        <v>407</v>
      </c>
      <c r="C101" t="s">
        <v>408</v>
      </c>
      <c r="D101" t="s">
        <v>407</v>
      </c>
      <c r="E101" t="s">
        <v>408</v>
      </c>
    </row>
    <row r="102" spans="1:5" x14ac:dyDescent="0.35">
      <c r="A102" t="s">
        <v>405</v>
      </c>
      <c r="B102" t="s">
        <v>407</v>
      </c>
      <c r="C102" t="s">
        <v>408</v>
      </c>
      <c r="D102" t="s">
        <v>407</v>
      </c>
      <c r="E102" t="s">
        <v>408</v>
      </c>
    </row>
    <row r="103" spans="1:5" x14ac:dyDescent="0.35">
      <c r="A103" t="s">
        <v>406</v>
      </c>
      <c r="B103" t="s">
        <v>407</v>
      </c>
      <c r="C103" t="s">
        <v>408</v>
      </c>
      <c r="D103" t="s">
        <v>407</v>
      </c>
      <c r="E103" t="s">
        <v>408</v>
      </c>
    </row>
    <row r="104" spans="1:5" x14ac:dyDescent="0.35">
      <c r="A104" t="s">
        <v>409</v>
      </c>
      <c r="B104" t="s">
        <v>407</v>
      </c>
      <c r="C104" t="s">
        <v>61</v>
      </c>
      <c r="D104" t="s">
        <v>407</v>
      </c>
      <c r="E104" t="s">
        <v>408</v>
      </c>
    </row>
    <row r="105" spans="1:5" x14ac:dyDescent="0.35">
      <c r="A105" t="s">
        <v>410</v>
      </c>
      <c r="B105" t="s">
        <v>407</v>
      </c>
      <c r="C105" t="s">
        <v>61</v>
      </c>
      <c r="D105" t="s">
        <v>407</v>
      </c>
      <c r="E105" t="s">
        <v>408</v>
      </c>
    </row>
    <row r="106" spans="1:5" x14ac:dyDescent="0.35">
      <c r="A106" t="s">
        <v>411</v>
      </c>
      <c r="B106" t="s">
        <v>407</v>
      </c>
      <c r="C106" t="s">
        <v>408</v>
      </c>
      <c r="D106" t="s">
        <v>407</v>
      </c>
      <c r="E106" t="s">
        <v>408</v>
      </c>
    </row>
    <row r="107" spans="1:5" x14ac:dyDescent="0.35">
      <c r="A107" t="s">
        <v>412</v>
      </c>
      <c r="B107" t="s">
        <v>407</v>
      </c>
      <c r="C107" t="s">
        <v>408</v>
      </c>
      <c r="D107" t="s">
        <v>407</v>
      </c>
      <c r="E107" t="s">
        <v>61</v>
      </c>
    </row>
    <row r="108" spans="1:5" x14ac:dyDescent="0.35">
      <c r="A108" t="s">
        <v>413</v>
      </c>
      <c r="B108" t="s">
        <v>407</v>
      </c>
      <c r="C108" t="s">
        <v>408</v>
      </c>
      <c r="D108" t="s">
        <v>407</v>
      </c>
      <c r="E108" t="s">
        <v>61</v>
      </c>
    </row>
    <row r="109" spans="1:5" x14ac:dyDescent="0.35">
      <c r="A109" t="s">
        <v>414</v>
      </c>
      <c r="B109" t="s">
        <v>407</v>
      </c>
      <c r="C109" t="s">
        <v>408</v>
      </c>
      <c r="D109" t="s">
        <v>407</v>
      </c>
      <c r="E109" t="s">
        <v>61</v>
      </c>
    </row>
    <row r="110" spans="1:5" x14ac:dyDescent="0.35">
      <c r="A110" t="s">
        <v>415</v>
      </c>
      <c r="B110" t="s">
        <v>407</v>
      </c>
      <c r="C110" t="s">
        <v>408</v>
      </c>
      <c r="D110" t="s">
        <v>407</v>
      </c>
      <c r="E110" t="s">
        <v>61</v>
      </c>
    </row>
    <row r="111" spans="1:5" x14ac:dyDescent="0.35">
      <c r="A111" t="s">
        <v>416</v>
      </c>
      <c r="B111" t="s">
        <v>407</v>
      </c>
      <c r="C111" t="s">
        <v>61</v>
      </c>
      <c r="D111" t="s">
        <v>407</v>
      </c>
      <c r="E111" t="s">
        <v>61</v>
      </c>
    </row>
    <row r="112" spans="1:5" x14ac:dyDescent="0.35">
      <c r="A112" t="s">
        <v>417</v>
      </c>
      <c r="B112" t="s">
        <v>407</v>
      </c>
      <c r="C112" t="s">
        <v>61</v>
      </c>
      <c r="D112" t="s">
        <v>407</v>
      </c>
      <c r="E112" t="s">
        <v>61</v>
      </c>
    </row>
    <row r="113" spans="1:5" x14ac:dyDescent="0.35">
      <c r="A113" t="s">
        <v>418</v>
      </c>
      <c r="B113" t="e">
        <v>#N/A</v>
      </c>
      <c r="C113" t="e">
        <v>#N/A</v>
      </c>
      <c r="D113" t="s">
        <v>63</v>
      </c>
      <c r="E113" t="s">
        <v>61</v>
      </c>
    </row>
    <row r="114" spans="1:5" x14ac:dyDescent="0.35">
      <c r="A114" t="s">
        <v>419</v>
      </c>
      <c r="B114" t="s">
        <v>407</v>
      </c>
      <c r="C114" t="s">
        <v>407</v>
      </c>
      <c r="D114" t="s">
        <v>407</v>
      </c>
      <c r="E114" t="s">
        <v>408</v>
      </c>
    </row>
    <row r="115" spans="1:5" x14ac:dyDescent="0.35">
      <c r="A115" t="s">
        <v>420</v>
      </c>
      <c r="B115" t="s">
        <v>407</v>
      </c>
      <c r="C115" t="s">
        <v>408</v>
      </c>
      <c r="D115" t="s">
        <v>407</v>
      </c>
      <c r="E115" t="s">
        <v>408</v>
      </c>
    </row>
    <row r="116" spans="1:5" x14ac:dyDescent="0.35">
      <c r="A116" t="s">
        <v>421</v>
      </c>
      <c r="B116" t="s">
        <v>63</v>
      </c>
      <c r="C116" t="s">
        <v>61</v>
      </c>
      <c r="D116" t="s">
        <v>63</v>
      </c>
      <c r="E116" t="s">
        <v>408</v>
      </c>
    </row>
    <row r="117" spans="1:5" x14ac:dyDescent="0.35">
      <c r="A117" t="s">
        <v>422</v>
      </c>
      <c r="B117" t="s">
        <v>63</v>
      </c>
      <c r="C117" t="s">
        <v>61</v>
      </c>
      <c r="D117" t="s">
        <v>63</v>
      </c>
      <c r="E117" t="s">
        <v>408</v>
      </c>
    </row>
    <row r="118" spans="1:5" x14ac:dyDescent="0.35">
      <c r="A118" t="s">
        <v>423</v>
      </c>
      <c r="B118" t="s">
        <v>407</v>
      </c>
      <c r="C118" t="s">
        <v>61</v>
      </c>
      <c r="D118" t="s">
        <v>407</v>
      </c>
      <c r="E118" t="s">
        <v>61</v>
      </c>
    </row>
    <row r="119" spans="1:5" x14ac:dyDescent="0.35">
      <c r="A119" t="s">
        <v>424</v>
      </c>
      <c r="B119" t="s">
        <v>407</v>
      </c>
      <c r="C119" t="s">
        <v>408</v>
      </c>
      <c r="D119" t="s">
        <v>407</v>
      </c>
      <c r="E119" t="s">
        <v>408</v>
      </c>
    </row>
    <row r="120" spans="1:5" x14ac:dyDescent="0.35">
      <c r="A120" t="s">
        <v>425</v>
      </c>
      <c r="B120" t="s">
        <v>407</v>
      </c>
      <c r="C120" t="s">
        <v>408</v>
      </c>
      <c r="D120" t="s">
        <v>407</v>
      </c>
      <c r="E120" t="s">
        <v>408</v>
      </c>
    </row>
    <row r="121" spans="1:5" x14ac:dyDescent="0.35">
      <c r="A121" t="s">
        <v>426</v>
      </c>
      <c r="B121" t="s">
        <v>407</v>
      </c>
      <c r="C121" t="s">
        <v>408</v>
      </c>
      <c r="D121" t="s">
        <v>407</v>
      </c>
      <c r="E121" t="s">
        <v>407</v>
      </c>
    </row>
    <row r="122" spans="1:5" x14ac:dyDescent="0.35">
      <c r="A122" t="s">
        <v>427</v>
      </c>
      <c r="B122" t="s">
        <v>407</v>
      </c>
      <c r="C122" t="s">
        <v>408</v>
      </c>
      <c r="D122" t="s">
        <v>407</v>
      </c>
      <c r="E122" t="s">
        <v>408</v>
      </c>
    </row>
    <row r="123" spans="1:5" x14ac:dyDescent="0.35">
      <c r="A123" t="s">
        <v>428</v>
      </c>
      <c r="B123" t="s">
        <v>407</v>
      </c>
      <c r="C123" t="s">
        <v>408</v>
      </c>
      <c r="D123" t="s">
        <v>407</v>
      </c>
      <c r="E123" t="s">
        <v>61</v>
      </c>
    </row>
    <row r="124" spans="1:5" x14ac:dyDescent="0.35">
      <c r="A124" t="s">
        <v>429</v>
      </c>
      <c r="B124" t="s">
        <v>407</v>
      </c>
      <c r="C124" t="s">
        <v>61</v>
      </c>
      <c r="D124" t="s">
        <v>407</v>
      </c>
      <c r="E124" t="s">
        <v>408</v>
      </c>
    </row>
    <row r="125" spans="1:5" x14ac:dyDescent="0.35">
      <c r="A125" t="s">
        <v>430</v>
      </c>
      <c r="B125" t="s">
        <v>407</v>
      </c>
      <c r="C125" t="s">
        <v>408</v>
      </c>
      <c r="D125" t="s">
        <v>407</v>
      </c>
      <c r="E125" t="s">
        <v>59</v>
      </c>
    </row>
    <row r="126" spans="1:5" x14ac:dyDescent="0.35">
      <c r="A126" t="s">
        <v>431</v>
      </c>
      <c r="B126" t="s">
        <v>407</v>
      </c>
      <c r="C126" t="s">
        <v>408</v>
      </c>
      <c r="D126" t="s">
        <v>407</v>
      </c>
      <c r="E126" t="s">
        <v>408</v>
      </c>
    </row>
    <row r="127" spans="1:5" x14ac:dyDescent="0.35">
      <c r="A127" t="s">
        <v>432</v>
      </c>
      <c r="B127" t="s">
        <v>407</v>
      </c>
      <c r="C127" t="s">
        <v>408</v>
      </c>
      <c r="D127" t="s">
        <v>407</v>
      </c>
      <c r="E127" t="s">
        <v>408</v>
      </c>
    </row>
    <row r="128" spans="1:5" x14ac:dyDescent="0.35">
      <c r="A128" t="s">
        <v>433</v>
      </c>
      <c r="B128" t="s">
        <v>407</v>
      </c>
      <c r="C128" t="s">
        <v>408</v>
      </c>
      <c r="D128" t="s">
        <v>407</v>
      </c>
      <c r="E128" t="s">
        <v>408</v>
      </c>
    </row>
    <row r="129" spans="1:5" x14ac:dyDescent="0.35">
      <c r="A129" t="s">
        <v>434</v>
      </c>
      <c r="B129" t="s">
        <v>407</v>
      </c>
      <c r="C129" t="s">
        <v>408</v>
      </c>
      <c r="D129" t="s">
        <v>407</v>
      </c>
      <c r="E129" t="s">
        <v>408</v>
      </c>
    </row>
    <row r="130" spans="1:5" x14ac:dyDescent="0.35">
      <c r="A130" t="s">
        <v>435</v>
      </c>
      <c r="B130" t="s">
        <v>62</v>
      </c>
      <c r="C130" t="s">
        <v>60</v>
      </c>
      <c r="D130" t="s">
        <v>62</v>
      </c>
      <c r="E130" t="s">
        <v>59</v>
      </c>
    </row>
    <row r="131" spans="1:5" x14ac:dyDescent="0.35">
      <c r="A131" t="s">
        <v>436</v>
      </c>
      <c r="B131" t="s">
        <v>407</v>
      </c>
      <c r="C131" t="s">
        <v>408</v>
      </c>
      <c r="D131" t="s">
        <v>407</v>
      </c>
      <c r="E131" t="s">
        <v>408</v>
      </c>
    </row>
    <row r="132" spans="1:5" x14ac:dyDescent="0.35">
      <c r="A132" t="s">
        <v>437</v>
      </c>
      <c r="B132" t="s">
        <v>407</v>
      </c>
      <c r="C132" t="s">
        <v>61</v>
      </c>
      <c r="D132" t="s">
        <v>407</v>
      </c>
      <c r="E132" t="s">
        <v>408</v>
      </c>
    </row>
    <row r="133" spans="1:5" x14ac:dyDescent="0.35">
      <c r="A133" t="s">
        <v>438</v>
      </c>
      <c r="B133" t="s">
        <v>407</v>
      </c>
      <c r="C133" t="s">
        <v>408</v>
      </c>
      <c r="D133" t="s">
        <v>407</v>
      </c>
      <c r="E133" t="s">
        <v>407</v>
      </c>
    </row>
    <row r="134" spans="1:5" x14ac:dyDescent="0.35">
      <c r="A134" t="s">
        <v>439</v>
      </c>
      <c r="B134" t="s">
        <v>407</v>
      </c>
      <c r="C134" t="s">
        <v>408</v>
      </c>
      <c r="D134" t="s">
        <v>407</v>
      </c>
      <c r="E134" t="s">
        <v>61</v>
      </c>
    </row>
    <row r="135" spans="1:5" x14ac:dyDescent="0.35">
      <c r="A135" t="s">
        <v>440</v>
      </c>
      <c r="B135" t="s">
        <v>407</v>
      </c>
      <c r="C135" t="s">
        <v>408</v>
      </c>
      <c r="D135" t="s">
        <v>407</v>
      </c>
      <c r="E135" t="s">
        <v>61</v>
      </c>
    </row>
    <row r="136" spans="1:5" x14ac:dyDescent="0.35">
      <c r="A136" t="s">
        <v>441</v>
      </c>
      <c r="B136" t="s">
        <v>407</v>
      </c>
      <c r="C136" t="s">
        <v>61</v>
      </c>
      <c r="D136" t="s">
        <v>407</v>
      </c>
      <c r="E136" t="s">
        <v>408</v>
      </c>
    </row>
    <row r="137" spans="1:5" x14ac:dyDescent="0.35">
      <c r="A137" t="s">
        <v>442</v>
      </c>
      <c r="B137" t="s">
        <v>407</v>
      </c>
      <c r="C137" t="s">
        <v>61</v>
      </c>
      <c r="D137" t="s">
        <v>407</v>
      </c>
      <c r="E137" t="s">
        <v>61</v>
      </c>
    </row>
    <row r="138" spans="1:5" x14ac:dyDescent="0.35">
      <c r="A138" t="s">
        <v>443</v>
      </c>
      <c r="B138" t="s">
        <v>62</v>
      </c>
      <c r="C138" t="s">
        <v>60</v>
      </c>
      <c r="D138" t="s">
        <v>62</v>
      </c>
      <c r="E138" t="s">
        <v>60</v>
      </c>
    </row>
    <row r="139" spans="1:5" x14ac:dyDescent="0.35">
      <c r="A139" t="s">
        <v>283</v>
      </c>
      <c r="B139" t="s">
        <v>407</v>
      </c>
      <c r="C139" t="s">
        <v>61</v>
      </c>
      <c r="D139" t="s">
        <v>407</v>
      </c>
      <c r="E139" t="s">
        <v>408</v>
      </c>
    </row>
    <row r="140" spans="1:5" x14ac:dyDescent="0.35">
      <c r="A140" t="s">
        <v>444</v>
      </c>
      <c r="B140" t="s">
        <v>407</v>
      </c>
      <c r="C140" t="s">
        <v>408</v>
      </c>
      <c r="D140" t="s">
        <v>407</v>
      </c>
      <c r="E140" t="s">
        <v>61</v>
      </c>
    </row>
    <row r="141" spans="1:5" x14ac:dyDescent="0.35">
      <c r="A141" t="s">
        <v>445</v>
      </c>
      <c r="B141" t="s">
        <v>407</v>
      </c>
      <c r="C141" t="s">
        <v>408</v>
      </c>
      <c r="D141" t="s">
        <v>407</v>
      </c>
      <c r="E141" t="s">
        <v>61</v>
      </c>
    </row>
    <row r="142" spans="1:5" x14ac:dyDescent="0.35">
      <c r="A142" t="s">
        <v>446</v>
      </c>
      <c r="B142" t="s">
        <v>407</v>
      </c>
      <c r="C142" t="s">
        <v>408</v>
      </c>
      <c r="D142" t="s">
        <v>407</v>
      </c>
      <c r="E142" t="s">
        <v>408</v>
      </c>
    </row>
    <row r="143" spans="1:5" x14ac:dyDescent="0.35">
      <c r="A143" t="s">
        <v>447</v>
      </c>
      <c r="B143" t="s">
        <v>407</v>
      </c>
      <c r="C143" t="s">
        <v>408</v>
      </c>
      <c r="D143" t="s">
        <v>407</v>
      </c>
      <c r="E143" t="s">
        <v>408</v>
      </c>
    </row>
    <row r="144" spans="1:5" x14ac:dyDescent="0.35">
      <c r="A144" t="s">
        <v>448</v>
      </c>
      <c r="B144" t="s">
        <v>407</v>
      </c>
      <c r="C144" t="s">
        <v>408</v>
      </c>
      <c r="D144" t="s">
        <v>407</v>
      </c>
      <c r="E144" t="s">
        <v>61</v>
      </c>
    </row>
    <row r="145" spans="1:5" x14ac:dyDescent="0.35">
      <c r="A145" t="s">
        <v>449</v>
      </c>
      <c r="B145" t="s">
        <v>407</v>
      </c>
      <c r="C145" t="s">
        <v>408</v>
      </c>
      <c r="D145" t="s">
        <v>407</v>
      </c>
      <c r="E145" t="s">
        <v>408</v>
      </c>
    </row>
    <row r="146" spans="1:5" x14ac:dyDescent="0.35">
      <c r="A146" t="s">
        <v>450</v>
      </c>
      <c r="B146" t="s">
        <v>407</v>
      </c>
      <c r="C146" t="s">
        <v>408</v>
      </c>
      <c r="D146" t="s">
        <v>407</v>
      </c>
      <c r="E146" t="s">
        <v>61</v>
      </c>
    </row>
    <row r="147" spans="1:5" x14ac:dyDescent="0.35">
      <c r="A147" t="s">
        <v>451</v>
      </c>
      <c r="B147" t="s">
        <v>407</v>
      </c>
      <c r="C147" t="s">
        <v>408</v>
      </c>
      <c r="D147" t="s">
        <v>407</v>
      </c>
      <c r="E147" t="s">
        <v>408</v>
      </c>
    </row>
    <row r="148" spans="1:5" x14ac:dyDescent="0.35">
      <c r="A148" t="s">
        <v>452</v>
      </c>
      <c r="B148" t="s">
        <v>407</v>
      </c>
      <c r="C148" t="s">
        <v>408</v>
      </c>
      <c r="D148" t="s">
        <v>407</v>
      </c>
      <c r="E148" t="s">
        <v>408</v>
      </c>
    </row>
    <row r="149" spans="1:5" x14ac:dyDescent="0.35">
      <c r="A149" t="s">
        <v>453</v>
      </c>
      <c r="B149" t="s">
        <v>407</v>
      </c>
      <c r="C149" t="s">
        <v>408</v>
      </c>
      <c r="D149" t="s">
        <v>407</v>
      </c>
      <c r="E149" t="s">
        <v>408</v>
      </c>
    </row>
    <row r="150" spans="1:5" x14ac:dyDescent="0.35">
      <c r="A150" t="s">
        <v>454</v>
      </c>
      <c r="B150" t="s">
        <v>407</v>
      </c>
      <c r="C150" t="s">
        <v>408</v>
      </c>
      <c r="D150" t="s">
        <v>407</v>
      </c>
      <c r="E150" t="s">
        <v>59</v>
      </c>
    </row>
    <row r="151" spans="1:5" x14ac:dyDescent="0.35">
      <c r="A151" t="s">
        <v>455</v>
      </c>
      <c r="B151" t="s">
        <v>407</v>
      </c>
      <c r="C151" t="s">
        <v>408</v>
      </c>
      <c r="D151" t="s">
        <v>407</v>
      </c>
      <c r="E151" t="s">
        <v>408</v>
      </c>
    </row>
    <row r="152" spans="1:5" x14ac:dyDescent="0.35">
      <c r="A152" t="s">
        <v>456</v>
      </c>
      <c r="B152" t="s">
        <v>407</v>
      </c>
      <c r="C152" t="s">
        <v>408</v>
      </c>
      <c r="D152" t="s">
        <v>63</v>
      </c>
      <c r="E152" t="s">
        <v>408</v>
      </c>
    </row>
    <row r="153" spans="1:5" x14ac:dyDescent="0.35">
      <c r="A153" t="s">
        <v>457</v>
      </c>
      <c r="B153" t="s">
        <v>63</v>
      </c>
      <c r="C153" t="s">
        <v>63</v>
      </c>
      <c r="D153" t="s">
        <v>63</v>
      </c>
      <c r="E153" t="s">
        <v>61</v>
      </c>
    </row>
    <row r="154" spans="1:5" x14ac:dyDescent="0.35">
      <c r="A154" t="s">
        <v>458</v>
      </c>
      <c r="B154" t="s">
        <v>63</v>
      </c>
      <c r="C154" t="s">
        <v>63</v>
      </c>
      <c r="D154" t="s">
        <v>63</v>
      </c>
      <c r="E154" t="s">
        <v>61</v>
      </c>
    </row>
    <row r="155" spans="1:5" x14ac:dyDescent="0.35">
      <c r="A155" t="s">
        <v>459</v>
      </c>
      <c r="B155" t="e">
        <v>#VALUE!</v>
      </c>
      <c r="C155" t="e">
        <v>#VALUE!</v>
      </c>
      <c r="D155" t="s">
        <v>63</v>
      </c>
      <c r="E155" t="s">
        <v>61</v>
      </c>
    </row>
  </sheetData>
  <autoFilter ref="A3:E155" xr:uid="{C77D3893-06E9-49B5-AC2C-3D9B252C9E34}"/>
  <mergeCells count="4">
    <mergeCell ref="A1:B1"/>
    <mergeCell ref="C1:D1"/>
    <mergeCell ref="B2:C2"/>
    <mergeCell ref="D2:E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BD764-3033-4D73-8F3D-BF4BFE2284D4}">
  <sheetPr codeName="Hoja4"/>
  <dimension ref="A1:K26"/>
  <sheetViews>
    <sheetView zoomScale="80" zoomScaleNormal="80" workbookViewId="0">
      <selection activeCell="C4" sqref="C4"/>
    </sheetView>
  </sheetViews>
  <sheetFormatPr baseColWidth="10" defaultRowHeight="14.5" x14ac:dyDescent="0.35"/>
  <cols>
    <col min="1" max="1" width="94" customWidth="1"/>
    <col min="2" max="2" width="37.7265625" bestFit="1" customWidth="1"/>
    <col min="5" max="5" width="35.81640625" bestFit="1" customWidth="1"/>
    <col min="6" max="6" width="17" customWidth="1"/>
    <col min="7" max="7" width="13.7265625" customWidth="1"/>
    <col min="9" max="9" width="8.26953125" customWidth="1"/>
    <col min="10" max="10" width="34.81640625" customWidth="1"/>
  </cols>
  <sheetData>
    <row r="1" spans="1:11" x14ac:dyDescent="0.35">
      <c r="B1" s="205" t="s">
        <v>254</v>
      </c>
      <c r="C1" s="205"/>
      <c r="D1" s="120"/>
      <c r="E1" s="205" t="s">
        <v>255</v>
      </c>
      <c r="F1" s="205"/>
      <c r="G1" s="205"/>
      <c r="J1" s="136" t="s">
        <v>380</v>
      </c>
    </row>
    <row r="2" spans="1:11" x14ac:dyDescent="0.35">
      <c r="E2" s="121">
        <v>0</v>
      </c>
      <c r="F2" s="121">
        <v>50</v>
      </c>
      <c r="G2" s="111" t="s">
        <v>256</v>
      </c>
      <c r="J2" s="124" t="s">
        <v>381</v>
      </c>
      <c r="K2">
        <v>0</v>
      </c>
    </row>
    <row r="3" spans="1:11" x14ac:dyDescent="0.35">
      <c r="B3" s="122" t="s">
        <v>257</v>
      </c>
      <c r="C3" s="123">
        <v>0.35</v>
      </c>
      <c r="D3" s="117"/>
      <c r="E3" s="121" t="s">
        <v>258</v>
      </c>
      <c r="F3" s="121" t="s">
        <v>259</v>
      </c>
      <c r="G3" s="111" t="s">
        <v>260</v>
      </c>
      <c r="H3" s="117"/>
      <c r="J3" s="124" t="s">
        <v>382</v>
      </c>
      <c r="K3">
        <v>0</v>
      </c>
    </row>
    <row r="4" spans="1:11" x14ac:dyDescent="0.35">
      <c r="A4" t="s">
        <v>261</v>
      </c>
      <c r="B4" s="111" t="s">
        <v>241</v>
      </c>
      <c r="C4" s="125">
        <f>C3</f>
        <v>0.35</v>
      </c>
      <c r="D4" s="117"/>
      <c r="E4" s="121" t="s">
        <v>262</v>
      </c>
      <c r="F4" s="121" t="s">
        <v>263</v>
      </c>
      <c r="G4" s="111" t="s">
        <v>264</v>
      </c>
      <c r="H4" s="117"/>
      <c r="J4" s="124" t="s">
        <v>383</v>
      </c>
      <c r="K4">
        <v>0</v>
      </c>
    </row>
    <row r="5" spans="1:11" ht="29" x14ac:dyDescent="0.35">
      <c r="A5" s="131" t="s">
        <v>265</v>
      </c>
      <c r="B5" s="111" t="s">
        <v>376</v>
      </c>
      <c r="C5" s="127">
        <v>0.25</v>
      </c>
      <c r="D5" s="117"/>
      <c r="E5" s="121" t="s">
        <v>266</v>
      </c>
      <c r="F5" s="121" t="s">
        <v>267</v>
      </c>
      <c r="G5" s="111" t="s">
        <v>268</v>
      </c>
      <c r="H5" s="117"/>
      <c r="J5" s="124" t="s">
        <v>384</v>
      </c>
      <c r="K5">
        <v>0</v>
      </c>
    </row>
    <row r="6" spans="1:11" x14ac:dyDescent="0.35">
      <c r="A6" t="s">
        <v>269</v>
      </c>
      <c r="B6" s="111" t="s">
        <v>250</v>
      </c>
      <c r="C6" s="127">
        <v>0</v>
      </c>
      <c r="D6" s="117"/>
      <c r="E6" s="121" t="s">
        <v>270</v>
      </c>
      <c r="F6" s="121">
        <v>100</v>
      </c>
      <c r="G6" s="111" t="s">
        <v>271</v>
      </c>
      <c r="H6" s="117"/>
      <c r="J6" s="124" t="s">
        <v>385</v>
      </c>
      <c r="K6">
        <v>0</v>
      </c>
    </row>
    <row r="7" spans="1:11" x14ac:dyDescent="0.35">
      <c r="D7" s="117"/>
      <c r="E7" s="124"/>
      <c r="F7" s="124"/>
      <c r="J7" s="124" t="s">
        <v>386</v>
      </c>
      <c r="K7">
        <v>0</v>
      </c>
    </row>
    <row r="8" spans="1:11" x14ac:dyDescent="0.35">
      <c r="D8" s="117"/>
      <c r="J8" s="124"/>
      <c r="K8">
        <f>SUM(K1:K7)</f>
        <v>0</v>
      </c>
    </row>
    <row r="9" spans="1:11" x14ac:dyDescent="0.35">
      <c r="B9" s="122" t="s">
        <v>387</v>
      </c>
      <c r="C9" s="123">
        <v>0.2</v>
      </c>
      <c r="D9" s="117"/>
      <c r="J9" s="137" t="s">
        <v>264</v>
      </c>
      <c r="K9" s="138">
        <v>0.73</v>
      </c>
    </row>
    <row r="10" spans="1:11" x14ac:dyDescent="0.35">
      <c r="A10" t="s">
        <v>272</v>
      </c>
      <c r="B10" s="111" t="s">
        <v>242</v>
      </c>
      <c r="C10" s="125">
        <v>0.2</v>
      </c>
      <c r="D10" s="117"/>
      <c r="E10" s="208"/>
      <c r="F10" s="208"/>
      <c r="J10" s="124"/>
      <c r="K10" s="139"/>
    </row>
    <row r="11" spans="1:11" x14ac:dyDescent="0.35">
      <c r="A11" t="s">
        <v>273</v>
      </c>
      <c r="B11" s="111" t="s">
        <v>243</v>
      </c>
      <c r="C11" s="125">
        <v>0.1</v>
      </c>
      <c r="D11" s="117"/>
      <c r="E11" s="126"/>
      <c r="F11" s="126"/>
      <c r="J11" s="136" t="s">
        <v>380</v>
      </c>
    </row>
    <row r="12" spans="1:11" x14ac:dyDescent="0.35">
      <c r="D12" s="117"/>
      <c r="E12" s="126"/>
      <c r="F12" s="126"/>
      <c r="J12" s="124" t="s">
        <v>381</v>
      </c>
    </row>
    <row r="13" spans="1:11" x14ac:dyDescent="0.35">
      <c r="B13" s="122" t="s">
        <v>276</v>
      </c>
      <c r="C13" s="123">
        <v>0.2</v>
      </c>
      <c r="D13" s="117"/>
      <c r="J13" s="124" t="s">
        <v>382</v>
      </c>
    </row>
    <row r="14" spans="1:11" x14ac:dyDescent="0.35">
      <c r="B14" s="111" t="s">
        <v>377</v>
      </c>
      <c r="C14" s="111">
        <v>0.1</v>
      </c>
      <c r="J14" s="124" t="s">
        <v>383</v>
      </c>
    </row>
    <row r="15" spans="1:11" x14ac:dyDescent="0.35">
      <c r="B15" s="111" t="s">
        <v>378</v>
      </c>
      <c r="C15" s="125">
        <v>0.15</v>
      </c>
      <c r="D15" s="124"/>
      <c r="J15" s="124" t="s">
        <v>384</v>
      </c>
    </row>
    <row r="16" spans="1:11" x14ac:dyDescent="0.35">
      <c r="B16" s="111" t="s">
        <v>379</v>
      </c>
      <c r="C16" s="125">
        <v>0.2</v>
      </c>
      <c r="J16" s="124" t="s">
        <v>385</v>
      </c>
    </row>
    <row r="17" spans="1:11" x14ac:dyDescent="0.35">
      <c r="D17" s="117"/>
      <c r="J17" s="124" t="s">
        <v>386</v>
      </c>
    </row>
    <row r="18" spans="1:11" x14ac:dyDescent="0.35">
      <c r="A18" t="s">
        <v>274</v>
      </c>
      <c r="B18" s="129" t="s">
        <v>388</v>
      </c>
      <c r="C18" s="140">
        <v>0.15</v>
      </c>
      <c r="J18" s="124"/>
    </row>
    <row r="19" spans="1:11" x14ac:dyDescent="0.35">
      <c r="A19" t="s">
        <v>275</v>
      </c>
      <c r="B19" s="111" t="s">
        <v>244</v>
      </c>
      <c r="C19" s="125">
        <v>0.15</v>
      </c>
      <c r="D19" s="117"/>
      <c r="J19" s="137" t="s">
        <v>264</v>
      </c>
      <c r="K19" s="138"/>
    </row>
    <row r="20" spans="1:11" x14ac:dyDescent="0.35">
      <c r="B20" s="111" t="s">
        <v>245</v>
      </c>
      <c r="C20" s="125">
        <v>0</v>
      </c>
    </row>
    <row r="21" spans="1:11" x14ac:dyDescent="0.35">
      <c r="D21" s="117"/>
    </row>
    <row r="22" spans="1:11" x14ac:dyDescent="0.35">
      <c r="B22" s="132"/>
    </row>
    <row r="23" spans="1:11" x14ac:dyDescent="0.35">
      <c r="A23" s="132" t="s">
        <v>277</v>
      </c>
      <c r="B23" s="135" t="s">
        <v>389</v>
      </c>
      <c r="C23" s="141">
        <v>0.1</v>
      </c>
    </row>
    <row r="24" spans="1:11" x14ac:dyDescent="0.35">
      <c r="A24" s="132" t="s">
        <v>278</v>
      </c>
      <c r="B24" s="133" t="s">
        <v>251</v>
      </c>
      <c r="C24" s="133">
        <v>0</v>
      </c>
    </row>
    <row r="25" spans="1:11" ht="29" x14ac:dyDescent="0.35">
      <c r="A25" s="134" t="s">
        <v>279</v>
      </c>
      <c r="B25" s="133" t="s">
        <v>252</v>
      </c>
      <c r="C25" s="142">
        <v>0.05</v>
      </c>
    </row>
    <row r="26" spans="1:11" x14ac:dyDescent="0.35">
      <c r="B26" s="133" t="s">
        <v>253</v>
      </c>
      <c r="C26" s="142">
        <v>0.1</v>
      </c>
    </row>
  </sheetData>
  <mergeCells count="3">
    <mergeCell ref="E1:G1"/>
    <mergeCell ref="E10:F10"/>
    <mergeCell ref="B1:C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L22"/>
  <sheetViews>
    <sheetView showGridLines="0" zoomScale="70" zoomScaleNormal="70" workbookViewId="0">
      <selection activeCell="A4" sqref="A4"/>
    </sheetView>
  </sheetViews>
  <sheetFormatPr baseColWidth="10" defaultColWidth="11.453125" defaultRowHeight="11.5" x14ac:dyDescent="0.25"/>
  <cols>
    <col min="1" max="1" width="1.453125" style="6" customWidth="1"/>
    <col min="2" max="2" width="6.26953125" style="6" customWidth="1"/>
    <col min="3" max="3" width="16.7265625" style="6" customWidth="1"/>
    <col min="4" max="4" width="16" style="6" customWidth="1"/>
    <col min="5" max="5" width="17.1796875" style="6" customWidth="1"/>
    <col min="6" max="6" width="15.7265625" style="6" customWidth="1"/>
    <col min="7" max="7" width="33.54296875" style="6" bestFit="1" customWidth="1"/>
    <col min="8" max="8" width="28.81640625" style="6" bestFit="1" customWidth="1"/>
    <col min="9" max="9" width="18.1796875" style="6" bestFit="1" customWidth="1"/>
    <col min="10" max="10" width="19.7265625" style="6" customWidth="1"/>
    <col min="11" max="11" width="21.26953125" style="6" customWidth="1"/>
    <col min="12" max="12" width="19.54296875" style="6" customWidth="1"/>
    <col min="13" max="13" width="11.453125" style="6"/>
    <col min="14" max="14" width="30.81640625" style="6" customWidth="1"/>
    <col min="15" max="16384" width="11.453125" style="6"/>
  </cols>
  <sheetData>
    <row r="1" spans="1:12" ht="14" x14ac:dyDescent="0.25">
      <c r="A1" s="3"/>
      <c r="B1" s="3"/>
      <c r="C1" s="209" t="s">
        <v>231</v>
      </c>
      <c r="D1" s="209"/>
      <c r="E1" s="209"/>
      <c r="F1" s="209"/>
      <c r="G1" s="209"/>
      <c r="H1" s="209"/>
      <c r="I1" s="209"/>
      <c r="J1" s="209"/>
      <c r="K1" s="209"/>
      <c r="L1" s="209"/>
    </row>
    <row r="2" spans="1:12" ht="14" x14ac:dyDescent="0.25">
      <c r="A2" s="3"/>
      <c r="B2" s="3"/>
      <c r="C2" s="210" t="s">
        <v>2</v>
      </c>
      <c r="D2" s="210"/>
      <c r="E2" s="210"/>
      <c r="F2" s="210"/>
      <c r="G2" s="210"/>
      <c r="H2" s="210"/>
      <c r="I2" s="210"/>
      <c r="J2" s="210"/>
      <c r="K2" s="210"/>
      <c r="L2" s="210"/>
    </row>
    <row r="3" spans="1:12" ht="44.25" customHeight="1" x14ac:dyDescent="0.25">
      <c r="A3" s="3"/>
      <c r="B3" s="88" t="s">
        <v>4</v>
      </c>
      <c r="C3" s="90" t="s">
        <v>5</v>
      </c>
      <c r="D3" s="24" t="s">
        <v>6</v>
      </c>
      <c r="E3" s="24" t="s">
        <v>7</v>
      </c>
      <c r="F3" s="24" t="s">
        <v>8</v>
      </c>
      <c r="G3" s="24" t="s">
        <v>9</v>
      </c>
      <c r="H3" s="24" t="s">
        <v>10</v>
      </c>
      <c r="I3" s="25" t="s">
        <v>232</v>
      </c>
      <c r="J3" s="25" t="s">
        <v>66</v>
      </c>
      <c r="K3" s="25" t="s">
        <v>67</v>
      </c>
      <c r="L3" s="25" t="s">
        <v>68</v>
      </c>
    </row>
    <row r="4" spans="1:12" ht="63.65" customHeight="1" x14ac:dyDescent="0.25">
      <c r="A4" s="4"/>
      <c r="B4" s="89"/>
      <c r="C4" s="91"/>
      <c r="D4" s="78"/>
      <c r="E4" s="78"/>
      <c r="F4" s="78"/>
      <c r="G4" s="77"/>
      <c r="H4" s="77"/>
      <c r="I4" s="77"/>
      <c r="J4" s="77"/>
      <c r="K4" s="79"/>
      <c r="L4" s="77"/>
    </row>
    <row r="18" spans="7:7" ht="14.5" x14ac:dyDescent="0.35">
      <c r="G18"/>
    </row>
    <row r="19" spans="7:7" ht="14.5" x14ac:dyDescent="0.35">
      <c r="G19"/>
    </row>
    <row r="20" spans="7:7" ht="14.5" x14ac:dyDescent="0.35">
      <c r="G20"/>
    </row>
    <row r="21" spans="7:7" ht="14.5" x14ac:dyDescent="0.35">
      <c r="G21"/>
    </row>
    <row r="22" spans="7:7" ht="14.5" x14ac:dyDescent="0.35">
      <c r="G22"/>
    </row>
  </sheetData>
  <autoFilter ref="B3:L4" xr:uid="{00000000-0001-0000-0300-000000000000}"/>
  <mergeCells count="3">
    <mergeCell ref="C1:L1"/>
    <mergeCell ref="C2:D2"/>
    <mergeCell ref="E2:L2"/>
  </mergeCells>
  <conditionalFormatting sqref="I4">
    <cfRule type="cellIs" dxfId="11" priority="205" stopIfTrue="1" operator="equal">
      <formula>"B"</formula>
    </cfRule>
    <cfRule type="cellIs" dxfId="10" priority="206" stopIfTrue="1" operator="equal">
      <formula>"C"</formula>
    </cfRule>
    <cfRule type="cellIs" dxfId="9" priority="207" stopIfTrue="1" operator="equal">
      <formula>"D"</formula>
    </cfRule>
  </conditionalFormatting>
  <conditionalFormatting sqref="C4">
    <cfRule type="cellIs" dxfId="8" priority="199" stopIfTrue="1" operator="equal">
      <formula>"B"</formula>
    </cfRule>
    <cfRule type="cellIs" dxfId="7" priority="200" stopIfTrue="1" operator="equal">
      <formula>"C"</formula>
    </cfRule>
    <cfRule type="cellIs" dxfId="6" priority="201" stopIfTrue="1" operator="equal">
      <formula>"D"</formula>
    </cfRule>
  </conditionalFormatting>
  <conditionalFormatting sqref="C4">
    <cfRule type="cellIs" dxfId="5" priority="196" stopIfTrue="1" operator="equal">
      <formula>"B"</formula>
    </cfRule>
    <cfRule type="cellIs" dxfId="4" priority="197" stopIfTrue="1" operator="equal">
      <formula>"C"</formula>
    </cfRule>
    <cfRule type="cellIs" dxfId="3" priority="198" stopIfTrue="1" operator="equal">
      <formula>"D"</formula>
    </cfRule>
  </conditionalFormatting>
  <pageMargins left="0.7" right="0.7" top="0.75" bottom="0.75" header="0.3" footer="0.3"/>
  <pageSetup scale="40"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719B8C4-DB46-4093-94E0-40C72F89ABEB}">
          <x14:formula1>
            <xm:f>'C:\Users\coyarce\OneDrive - BANCO DEL ESTADO DE CHILE\Procesos\2022\Procesos Comex\Ordenes de Pago\[Matriz de Riesgo 2021 Proceso Emitir y Cancelar Ordenes de Pago MX.xlsx]Hoja1'!#REF!</xm:f>
          </x14:formula1>
          <xm:sqref>D4:F4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8BFD5-6528-4CBA-9D9B-F3443A3B3D83}">
  <sheetPr codeName="Hoja6"/>
  <dimension ref="B2:L5"/>
  <sheetViews>
    <sheetView showGridLines="0" zoomScale="70" zoomScaleNormal="70" zoomScaleSheetLayoutView="80" workbookViewId="0">
      <pane ySplit="4" topLeftCell="A5" activePane="bottomLeft" state="frozen"/>
      <selection pane="bottomLeft" activeCell="E42" sqref="E42"/>
    </sheetView>
  </sheetViews>
  <sheetFormatPr baseColWidth="10" defaultColWidth="11.453125" defaultRowHeight="14" x14ac:dyDescent="0.3"/>
  <cols>
    <col min="1" max="1" width="1.26953125" style="26" customWidth="1"/>
    <col min="2" max="2" width="9.81640625" style="26" bestFit="1" customWidth="1"/>
    <col min="3" max="3" width="27.81640625" style="26" bestFit="1" customWidth="1"/>
    <col min="4" max="4" width="26.1796875" style="47" bestFit="1" customWidth="1"/>
    <col min="5" max="5" width="31.54296875" style="47" bestFit="1" customWidth="1"/>
    <col min="6" max="6" width="23.81640625" style="47" bestFit="1" customWidth="1"/>
    <col min="7" max="7" width="34.54296875" style="26" bestFit="1" customWidth="1"/>
    <col min="8" max="8" width="29.81640625" style="26" bestFit="1" customWidth="1"/>
    <col min="9" max="9" width="15.453125" style="26" bestFit="1" customWidth="1"/>
    <col min="10" max="10" width="15.453125" style="26" customWidth="1"/>
    <col min="11" max="11" width="16.81640625" style="96" customWidth="1"/>
    <col min="12" max="12" width="25.81640625" style="26" bestFit="1" customWidth="1"/>
    <col min="13" max="30" width="11.453125" style="26" customWidth="1"/>
    <col min="31" max="16384" width="11.453125" style="26"/>
  </cols>
  <sheetData>
    <row r="2" spans="2:12" x14ac:dyDescent="0.3">
      <c r="B2" s="193" t="s">
        <v>221</v>
      </c>
      <c r="C2" s="193"/>
      <c r="D2" s="193"/>
      <c r="E2" s="193"/>
      <c r="F2" s="193"/>
      <c r="G2" s="193"/>
      <c r="H2" s="193"/>
    </row>
    <row r="3" spans="2:12" x14ac:dyDescent="0.3">
      <c r="B3" s="182" t="s">
        <v>2</v>
      </c>
      <c r="C3" s="182"/>
      <c r="D3" s="182"/>
      <c r="E3" s="182"/>
      <c r="F3" s="182"/>
      <c r="G3" s="182"/>
      <c r="H3" s="182"/>
    </row>
    <row r="4" spans="2:12" ht="42" x14ac:dyDescent="0.3">
      <c r="B4" s="30" t="s">
        <v>4</v>
      </c>
      <c r="C4" s="30" t="s">
        <v>5</v>
      </c>
      <c r="D4" s="30" t="s">
        <v>6</v>
      </c>
      <c r="E4" s="30" t="s">
        <v>7</v>
      </c>
      <c r="F4" s="30" t="s">
        <v>8</v>
      </c>
      <c r="G4" s="30" t="s">
        <v>9</v>
      </c>
      <c r="H4" s="30" t="s">
        <v>10</v>
      </c>
      <c r="I4" s="30" t="s">
        <v>233</v>
      </c>
      <c r="J4" s="30" t="s">
        <v>234</v>
      </c>
      <c r="K4" s="30" t="s">
        <v>235</v>
      </c>
      <c r="L4" s="30" t="s">
        <v>220</v>
      </c>
    </row>
    <row r="5" spans="2:12" ht="59.5" customHeight="1" x14ac:dyDescent="0.3">
      <c r="B5" s="37"/>
      <c r="C5" s="72"/>
      <c r="D5" s="38"/>
      <c r="E5" s="38"/>
      <c r="F5" s="38"/>
      <c r="G5" s="73"/>
      <c r="H5" s="73"/>
      <c r="I5" s="97"/>
      <c r="J5" s="97"/>
      <c r="K5" s="97"/>
      <c r="L5" s="98"/>
    </row>
  </sheetData>
  <autoFilter ref="A4:H5" xr:uid="{CB43F765-2B17-4D99-B744-D71F6C74800E}"/>
  <mergeCells count="3">
    <mergeCell ref="B2:H2"/>
    <mergeCell ref="B3:C3"/>
    <mergeCell ref="D3:H3"/>
  </mergeCells>
  <conditionalFormatting sqref="C5">
    <cfRule type="cellIs" dxfId="2" priority="123" stopIfTrue="1" operator="equal">
      <formula>"B"</formula>
    </cfRule>
    <cfRule type="cellIs" dxfId="1" priority="124" stopIfTrue="1" operator="equal">
      <formula>"C"</formula>
    </cfRule>
    <cfRule type="cellIs" dxfId="0" priority="125" stopIfTrue="1" operator="equal">
      <formula>"D"</formula>
    </cfRule>
  </conditionalFormatting>
  <pageMargins left="0.7" right="0.7" top="0.75" bottom="0.75" header="0.3" footer="0.3"/>
  <pageSetup scale="22"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846FD94F-EAD6-4A70-B771-73FDC98BC81D}">
          <x14:formula1>
            <xm:f>Hoja1!$A$2:$A$14</xm:f>
          </x14:formula1>
          <xm:sqref>D5</xm:sqref>
        </x14:dataValidation>
        <x14:dataValidation type="list" allowBlank="1" showInputMessage="1" showErrorMessage="1" xr:uid="{290648CF-C29B-4F36-A746-923B1904807E}">
          <x14:formula1>
            <xm:f>Hoja1!$D$2:$D$8</xm:f>
          </x14:formula1>
          <xm:sqref>E5</xm:sqref>
        </x14:dataValidation>
        <x14:dataValidation type="list" allowBlank="1" showInputMessage="1" showErrorMessage="1" xr:uid="{E7774018-7B59-4B55-87DB-921702B23EB5}">
          <x14:formula1>
            <xm:f>Hoja1!$G$2:$G$95</xm:f>
          </x14:formula1>
          <xm:sqref>F5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60CF1-D9D0-473D-9C21-88D9D56DFC12}">
  <dimension ref="B1:I25"/>
  <sheetViews>
    <sheetView topLeftCell="A6" workbookViewId="0">
      <selection activeCell="G18" sqref="G18"/>
    </sheetView>
  </sheetViews>
  <sheetFormatPr baseColWidth="10" defaultRowHeight="14.5" x14ac:dyDescent="0.35"/>
  <cols>
    <col min="1" max="1" width="3.54296875" customWidth="1"/>
    <col min="4" max="4" width="52.1796875" customWidth="1"/>
  </cols>
  <sheetData>
    <row r="1" spans="2:9" hidden="1" x14ac:dyDescent="0.35"/>
    <row r="2" spans="2:9" ht="15" hidden="1" thickBot="1" x14ac:dyDescent="0.4"/>
    <row r="3" spans="2:9" ht="15" thickBot="1" x14ac:dyDescent="0.4">
      <c r="B3" s="214" t="s">
        <v>254</v>
      </c>
      <c r="C3" s="215"/>
      <c r="D3" s="216"/>
      <c r="F3" s="214" t="s">
        <v>472</v>
      </c>
      <c r="G3" s="215"/>
      <c r="H3" s="216"/>
      <c r="I3" s="150"/>
    </row>
    <row r="4" spans="2:9" ht="15" thickBot="1" x14ac:dyDescent="0.4">
      <c r="B4" s="151" t="s">
        <v>0</v>
      </c>
      <c r="C4" s="151" t="s">
        <v>477</v>
      </c>
      <c r="D4" s="151" t="s">
        <v>478</v>
      </c>
      <c r="F4" s="145">
        <v>0</v>
      </c>
      <c r="G4" s="146" t="s">
        <v>398</v>
      </c>
      <c r="H4" s="145">
        <v>0.4</v>
      </c>
      <c r="I4" s="111" t="s">
        <v>256</v>
      </c>
    </row>
    <row r="5" spans="2:9" ht="15" thickBot="1" x14ac:dyDescent="0.4">
      <c r="B5" s="211" t="s">
        <v>479</v>
      </c>
      <c r="C5" s="212"/>
      <c r="D5" s="213"/>
      <c r="F5" s="147">
        <f>H4</f>
        <v>0.4</v>
      </c>
      <c r="G5" s="146" t="s">
        <v>398</v>
      </c>
      <c r="H5" s="145">
        <v>0.6</v>
      </c>
      <c r="I5" s="111" t="s">
        <v>260</v>
      </c>
    </row>
    <row r="6" spans="2:9" ht="48" customHeight="1" thickBot="1" x14ac:dyDescent="0.4">
      <c r="B6" s="152" t="s">
        <v>241</v>
      </c>
      <c r="C6" s="153">
        <v>0.35</v>
      </c>
      <c r="D6" s="154" t="s">
        <v>480</v>
      </c>
      <c r="F6" s="147">
        <f>H5</f>
        <v>0.6</v>
      </c>
      <c r="G6" s="146" t="s">
        <v>398</v>
      </c>
      <c r="H6" s="145">
        <v>0.8</v>
      </c>
      <c r="I6" s="111" t="s">
        <v>264</v>
      </c>
    </row>
    <row r="7" spans="2:9" ht="15" thickBot="1" x14ac:dyDescent="0.4">
      <c r="B7" s="152" t="s">
        <v>376</v>
      </c>
      <c r="C7" s="153">
        <v>0.2</v>
      </c>
      <c r="D7" s="152" t="s">
        <v>481</v>
      </c>
      <c r="F7" s="147">
        <f>H6</f>
        <v>0.8</v>
      </c>
      <c r="G7" s="146" t="s">
        <v>398</v>
      </c>
      <c r="H7" s="145">
        <v>0.95</v>
      </c>
      <c r="I7" s="111" t="s">
        <v>268</v>
      </c>
    </row>
    <row r="8" spans="2:9" ht="15" thickBot="1" x14ac:dyDescent="0.4">
      <c r="B8" s="154" t="s">
        <v>250</v>
      </c>
      <c r="C8" s="155">
        <v>0</v>
      </c>
      <c r="D8" s="154" t="s">
        <v>482</v>
      </c>
      <c r="F8" s="147">
        <f>H7</f>
        <v>0.95</v>
      </c>
      <c r="G8" s="146" t="s">
        <v>398</v>
      </c>
      <c r="H8" s="145">
        <v>1</v>
      </c>
      <c r="I8" s="111" t="s">
        <v>271</v>
      </c>
    </row>
    <row r="9" spans="2:9" ht="15" thickBot="1" x14ac:dyDescent="0.4">
      <c r="B9" s="211" t="s">
        <v>483</v>
      </c>
      <c r="C9" s="212"/>
      <c r="D9" s="213"/>
    </row>
    <row r="10" spans="2:9" ht="33" thickBot="1" x14ac:dyDescent="0.4">
      <c r="B10" s="154" t="s">
        <v>470</v>
      </c>
      <c r="C10" s="155">
        <v>0.2</v>
      </c>
      <c r="D10" s="154" t="s">
        <v>484</v>
      </c>
    </row>
    <row r="11" spans="2:9" ht="21.5" thickBot="1" x14ac:dyDescent="0.4">
      <c r="B11" s="152" t="s">
        <v>485</v>
      </c>
      <c r="C11" s="155">
        <v>0.05</v>
      </c>
      <c r="D11" s="154" t="s">
        <v>486</v>
      </c>
    </row>
    <row r="12" spans="2:9" ht="15" thickBot="1" x14ac:dyDescent="0.4">
      <c r="B12" s="154" t="s">
        <v>250</v>
      </c>
      <c r="C12" s="155">
        <v>0</v>
      </c>
      <c r="D12" s="154"/>
    </row>
    <row r="13" spans="2:9" ht="15" thickBot="1" x14ac:dyDescent="0.4">
      <c r="B13" s="211" t="s">
        <v>487</v>
      </c>
      <c r="C13" s="212"/>
      <c r="D13" s="213"/>
    </row>
    <row r="14" spans="2:9" ht="15" thickBot="1" x14ac:dyDescent="0.4">
      <c r="B14" s="154" t="s">
        <v>377</v>
      </c>
      <c r="C14" s="155">
        <v>0.05</v>
      </c>
      <c r="D14" s="154" t="s">
        <v>488</v>
      </c>
    </row>
    <row r="15" spans="2:9" ht="21.5" thickBot="1" x14ac:dyDescent="0.4">
      <c r="B15" s="152" t="s">
        <v>378</v>
      </c>
      <c r="C15" s="153">
        <v>0.15</v>
      </c>
      <c r="D15" s="154" t="s">
        <v>489</v>
      </c>
    </row>
    <row r="16" spans="2:9" ht="15" thickBot="1" x14ac:dyDescent="0.4">
      <c r="B16" s="154" t="s">
        <v>379</v>
      </c>
      <c r="C16" s="155">
        <v>0.2</v>
      </c>
      <c r="D16" s="154" t="s">
        <v>490</v>
      </c>
    </row>
    <row r="17" spans="2:4" ht="15" thickBot="1" x14ac:dyDescent="0.4">
      <c r="B17" s="154" t="s">
        <v>250</v>
      </c>
      <c r="C17" s="155">
        <v>0</v>
      </c>
      <c r="D17" s="154"/>
    </row>
    <row r="18" spans="2:4" ht="15" thickBot="1" x14ac:dyDescent="0.4">
      <c r="B18" s="211" t="s">
        <v>491</v>
      </c>
      <c r="C18" s="212"/>
      <c r="D18" s="213"/>
    </row>
    <row r="19" spans="2:4" ht="15" thickBot="1" x14ac:dyDescent="0.4">
      <c r="B19" s="154" t="s">
        <v>492</v>
      </c>
      <c r="C19" s="155">
        <v>0.15</v>
      </c>
      <c r="D19" s="154" t="s">
        <v>493</v>
      </c>
    </row>
    <row r="20" spans="2:4" ht="15" thickBot="1" x14ac:dyDescent="0.4">
      <c r="B20" s="154" t="s">
        <v>245</v>
      </c>
      <c r="C20" s="155">
        <v>0</v>
      </c>
      <c r="D20" s="154" t="s">
        <v>494</v>
      </c>
    </row>
    <row r="21" spans="2:4" ht="15" thickBot="1" x14ac:dyDescent="0.4">
      <c r="B21" s="154" t="s">
        <v>250</v>
      </c>
      <c r="C21" s="155">
        <v>0</v>
      </c>
      <c r="D21" s="154"/>
    </row>
    <row r="22" spans="2:4" ht="15" thickBot="1" x14ac:dyDescent="0.4">
      <c r="B22" s="211" t="s">
        <v>495</v>
      </c>
      <c r="C22" s="212"/>
      <c r="D22" s="213"/>
    </row>
    <row r="23" spans="2:4" ht="22.5" thickBot="1" x14ac:dyDescent="0.4">
      <c r="B23" s="152" t="s">
        <v>468</v>
      </c>
      <c r="C23" s="153">
        <v>0.05</v>
      </c>
      <c r="D23" s="154" t="s">
        <v>496</v>
      </c>
    </row>
    <row r="24" spans="2:4" ht="15" thickBot="1" x14ac:dyDescent="0.4">
      <c r="B24" s="152" t="s">
        <v>469</v>
      </c>
      <c r="C24" s="153">
        <v>0.1</v>
      </c>
      <c r="D24" s="154" t="s">
        <v>497</v>
      </c>
    </row>
    <row r="25" spans="2:4" ht="15" thickBot="1" x14ac:dyDescent="0.4">
      <c r="B25" s="154" t="s">
        <v>250</v>
      </c>
      <c r="C25" s="155">
        <v>0</v>
      </c>
      <c r="D25" s="154"/>
    </row>
  </sheetData>
  <mergeCells count="7">
    <mergeCell ref="B13:D13"/>
    <mergeCell ref="B18:D18"/>
    <mergeCell ref="B22:D22"/>
    <mergeCell ref="F3:H3"/>
    <mergeCell ref="B3:D3"/>
    <mergeCell ref="B5:D5"/>
    <mergeCell ref="B9:D9"/>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B2:P25"/>
  <sheetViews>
    <sheetView topLeftCell="A4" zoomScaleNormal="100" workbookViewId="0">
      <selection activeCell="G7" sqref="G7:G8"/>
    </sheetView>
  </sheetViews>
  <sheetFormatPr baseColWidth="10" defaultColWidth="11.453125" defaultRowHeight="11.5" x14ac:dyDescent="0.25"/>
  <cols>
    <col min="1" max="1" width="1.54296875" style="7" customWidth="1"/>
    <col min="2" max="2" width="11.453125" style="7"/>
    <col min="3" max="3" width="21.453125" style="7" bestFit="1" customWidth="1"/>
    <col min="4" max="4" width="19" style="7" customWidth="1"/>
    <col min="5" max="5" width="18.1796875" style="7" customWidth="1"/>
    <col min="6" max="6" width="17.54296875" style="7" customWidth="1"/>
    <col min="7" max="7" width="17.7265625" style="7" customWidth="1"/>
    <col min="8" max="8" width="2.1796875" style="7" customWidth="1"/>
    <col min="9" max="9" width="16.453125" style="7" customWidth="1"/>
    <col min="10" max="10" width="68.453125" style="7" customWidth="1"/>
    <col min="11" max="11" width="1.26953125" style="7" customWidth="1"/>
    <col min="12" max="12" width="13" style="7" customWidth="1"/>
    <col min="13" max="13" width="16.26953125" style="7" customWidth="1"/>
    <col min="14" max="14" width="17.1796875" style="7" customWidth="1"/>
    <col min="15" max="15" width="14.7265625" style="7" customWidth="1"/>
    <col min="16" max="16" width="18.453125" style="7" customWidth="1"/>
    <col min="17" max="16384" width="11.453125" style="7"/>
  </cols>
  <sheetData>
    <row r="2" spans="2:16" ht="14" x14ac:dyDescent="0.3">
      <c r="D2" s="8" t="s">
        <v>69</v>
      </c>
    </row>
    <row r="4" spans="2:16" s="13" customFormat="1" ht="23" x14ac:dyDescent="0.25">
      <c r="B4" s="9" t="s">
        <v>11</v>
      </c>
      <c r="C4" s="10" t="s">
        <v>12</v>
      </c>
      <c r="D4" s="10" t="s">
        <v>13</v>
      </c>
      <c r="E4" s="10" t="s">
        <v>14</v>
      </c>
      <c r="F4" s="10" t="s">
        <v>15</v>
      </c>
      <c r="G4" s="10" t="s">
        <v>16</v>
      </c>
      <c r="H4" s="11"/>
      <c r="I4" s="12" t="s">
        <v>17</v>
      </c>
      <c r="J4" s="12" t="s">
        <v>70</v>
      </c>
      <c r="L4" s="14" t="s">
        <v>71</v>
      </c>
      <c r="M4" s="15" t="s">
        <v>72</v>
      </c>
      <c r="N4" s="15" t="s">
        <v>73</v>
      </c>
      <c r="O4" s="15" t="s">
        <v>74</v>
      </c>
      <c r="P4" s="16" t="s">
        <v>75</v>
      </c>
    </row>
    <row r="5" spans="2:16" ht="36" customHeight="1" x14ac:dyDescent="0.25">
      <c r="B5" s="238" t="s">
        <v>76</v>
      </c>
      <c r="C5" s="222" t="s">
        <v>473</v>
      </c>
      <c r="D5" s="222" t="s">
        <v>77</v>
      </c>
      <c r="E5" s="222" t="s">
        <v>78</v>
      </c>
      <c r="F5" s="222" t="s">
        <v>79</v>
      </c>
      <c r="G5" s="222" t="s">
        <v>80</v>
      </c>
      <c r="H5" s="11"/>
      <c r="I5" s="17" t="s">
        <v>81</v>
      </c>
      <c r="J5" s="18" t="s">
        <v>82</v>
      </c>
      <c r="L5" s="225" t="s">
        <v>83</v>
      </c>
      <c r="M5" s="217" t="s">
        <v>84</v>
      </c>
      <c r="N5" s="217" t="s">
        <v>85</v>
      </c>
      <c r="O5" s="217" t="s">
        <v>86</v>
      </c>
      <c r="P5" s="217" t="s">
        <v>87</v>
      </c>
    </row>
    <row r="6" spans="2:16" ht="34.5" x14ac:dyDescent="0.25">
      <c r="B6" s="239"/>
      <c r="C6" s="223"/>
      <c r="D6" s="223"/>
      <c r="E6" s="223"/>
      <c r="F6" s="223"/>
      <c r="G6" s="223"/>
      <c r="H6" s="11"/>
      <c r="I6" s="19" t="s">
        <v>35</v>
      </c>
      <c r="J6" s="18" t="s">
        <v>88</v>
      </c>
      <c r="L6" s="225"/>
      <c r="M6" s="217"/>
      <c r="N6" s="217"/>
      <c r="O6" s="217"/>
      <c r="P6" s="217"/>
    </row>
    <row r="7" spans="2:16" ht="70.5" customHeight="1" x14ac:dyDescent="0.25">
      <c r="B7" s="236" t="s">
        <v>89</v>
      </c>
      <c r="C7" s="222" t="s">
        <v>474</v>
      </c>
      <c r="D7" s="222" t="s">
        <v>90</v>
      </c>
      <c r="E7" s="222" t="s">
        <v>91</v>
      </c>
      <c r="F7" s="222" t="s">
        <v>92</v>
      </c>
      <c r="G7" s="222" t="s">
        <v>93</v>
      </c>
      <c r="H7" s="11"/>
      <c r="I7" s="228" t="s">
        <v>94</v>
      </c>
      <c r="J7" s="226" t="s">
        <v>95</v>
      </c>
      <c r="L7" s="233" t="s">
        <v>96</v>
      </c>
      <c r="M7" s="217" t="s">
        <v>97</v>
      </c>
      <c r="N7" s="217" t="s">
        <v>85</v>
      </c>
      <c r="O7" s="217" t="s">
        <v>98</v>
      </c>
      <c r="P7" s="217" t="s">
        <v>99</v>
      </c>
    </row>
    <row r="8" spans="2:16" ht="70.5" customHeight="1" x14ac:dyDescent="0.25">
      <c r="B8" s="237"/>
      <c r="C8" s="223"/>
      <c r="D8" s="223"/>
      <c r="E8" s="223"/>
      <c r="F8" s="223"/>
      <c r="G8" s="223"/>
      <c r="H8" s="11"/>
      <c r="I8" s="228"/>
      <c r="J8" s="226"/>
      <c r="L8" s="233"/>
      <c r="M8" s="217"/>
      <c r="N8" s="217"/>
      <c r="O8" s="217"/>
      <c r="P8" s="217"/>
    </row>
    <row r="9" spans="2:16" ht="66" customHeight="1" x14ac:dyDescent="0.25">
      <c r="B9" s="231" t="s">
        <v>100</v>
      </c>
      <c r="C9" s="222" t="s">
        <v>475</v>
      </c>
      <c r="D9" s="222" t="s">
        <v>101</v>
      </c>
      <c r="E9" s="222" t="s">
        <v>102</v>
      </c>
      <c r="F9" s="222" t="s">
        <v>103</v>
      </c>
      <c r="G9" s="222" t="s">
        <v>104</v>
      </c>
      <c r="H9" s="11"/>
      <c r="I9" s="233" t="s">
        <v>105</v>
      </c>
      <c r="J9" s="234" t="s">
        <v>106</v>
      </c>
      <c r="L9" s="228" t="s">
        <v>107</v>
      </c>
      <c r="M9" s="217" t="s">
        <v>97</v>
      </c>
      <c r="N9" s="217" t="s">
        <v>108</v>
      </c>
      <c r="O9" s="217" t="s">
        <v>109</v>
      </c>
      <c r="P9" s="217" t="s">
        <v>110</v>
      </c>
    </row>
    <row r="10" spans="2:16" ht="66" customHeight="1" x14ac:dyDescent="0.25">
      <c r="B10" s="232"/>
      <c r="C10" s="223"/>
      <c r="D10" s="223"/>
      <c r="E10" s="223"/>
      <c r="F10" s="223"/>
      <c r="G10" s="223"/>
      <c r="H10" s="11"/>
      <c r="I10" s="233"/>
      <c r="J10" s="235"/>
      <c r="L10" s="228"/>
      <c r="M10" s="217"/>
      <c r="N10" s="217"/>
      <c r="O10" s="217"/>
      <c r="P10" s="217"/>
    </row>
    <row r="11" spans="2:16" ht="72.75" customHeight="1" x14ac:dyDescent="0.25">
      <c r="B11" s="229" t="s">
        <v>111</v>
      </c>
      <c r="C11" s="222" t="s">
        <v>476</v>
      </c>
      <c r="D11" s="222" t="s">
        <v>112</v>
      </c>
      <c r="E11" s="222" t="s">
        <v>113</v>
      </c>
      <c r="F11" s="222" t="s">
        <v>114</v>
      </c>
      <c r="G11" s="222" t="s">
        <v>115</v>
      </c>
      <c r="H11" s="11"/>
      <c r="I11" s="225" t="s">
        <v>116</v>
      </c>
      <c r="J11" s="226" t="s">
        <v>117</v>
      </c>
      <c r="L11" s="227" t="s">
        <v>118</v>
      </c>
      <c r="M11" s="217" t="s">
        <v>119</v>
      </c>
      <c r="N11" s="217" t="s">
        <v>108</v>
      </c>
      <c r="O11" s="217" t="s">
        <v>120</v>
      </c>
      <c r="P11" s="217" t="s">
        <v>110</v>
      </c>
    </row>
    <row r="12" spans="2:16" ht="72.75" customHeight="1" x14ac:dyDescent="0.25">
      <c r="B12" s="230"/>
      <c r="C12" s="223"/>
      <c r="D12" s="223"/>
      <c r="E12" s="223"/>
      <c r="F12" s="223"/>
      <c r="G12" s="223"/>
      <c r="H12" s="11"/>
      <c r="I12" s="225"/>
      <c r="J12" s="226"/>
      <c r="L12" s="227"/>
      <c r="M12" s="217"/>
      <c r="N12" s="217"/>
      <c r="O12" s="217"/>
      <c r="P12" s="217"/>
    </row>
    <row r="13" spans="2:16" ht="59.25" customHeight="1" x14ac:dyDescent="0.25">
      <c r="B13" s="218" t="s">
        <v>121</v>
      </c>
      <c r="C13" s="220" t="s">
        <v>122</v>
      </c>
      <c r="D13" s="222" t="s">
        <v>123</v>
      </c>
      <c r="E13" s="222" t="s">
        <v>124</v>
      </c>
      <c r="F13" s="222" t="s">
        <v>125</v>
      </c>
      <c r="G13" s="222" t="s">
        <v>126</v>
      </c>
      <c r="H13" s="11"/>
      <c r="I13" s="20"/>
      <c r="J13" s="21"/>
      <c r="L13" s="224" t="s">
        <v>127</v>
      </c>
      <c r="M13" s="217" t="s">
        <v>119</v>
      </c>
      <c r="N13" s="217" t="s">
        <v>108</v>
      </c>
      <c r="O13" s="217" t="s">
        <v>128</v>
      </c>
      <c r="P13" s="217" t="s">
        <v>129</v>
      </c>
    </row>
    <row r="14" spans="2:16" ht="59.25" customHeight="1" x14ac:dyDescent="0.25">
      <c r="B14" s="219"/>
      <c r="C14" s="221"/>
      <c r="D14" s="223"/>
      <c r="E14" s="223"/>
      <c r="F14" s="223"/>
      <c r="G14" s="223"/>
      <c r="H14" s="11"/>
      <c r="I14" s="20"/>
      <c r="J14" s="21"/>
      <c r="L14" s="224"/>
      <c r="M14" s="217"/>
      <c r="N14" s="217"/>
      <c r="O14" s="217"/>
      <c r="P14" s="217"/>
    </row>
    <row r="15" spans="2:16" x14ac:dyDescent="0.25">
      <c r="I15" s="20"/>
      <c r="J15" s="21"/>
    </row>
    <row r="16" spans="2:16" x14ac:dyDescent="0.25">
      <c r="J16" s="21"/>
      <c r="L16" s="20"/>
      <c r="M16" s="22"/>
      <c r="N16" s="22"/>
      <c r="O16" s="22"/>
      <c r="P16" s="22"/>
    </row>
    <row r="17" spans="9:16" ht="12" customHeight="1" x14ac:dyDescent="0.25">
      <c r="I17" s="20"/>
      <c r="J17" s="21"/>
      <c r="L17" s="20"/>
      <c r="M17" s="22"/>
      <c r="N17" s="22"/>
      <c r="O17" s="22"/>
      <c r="P17" s="22"/>
    </row>
    <row r="18" spans="9:16" ht="12" customHeight="1" x14ac:dyDescent="0.25">
      <c r="I18" s="20"/>
      <c r="J18" s="21"/>
      <c r="L18" s="20"/>
      <c r="M18" s="22"/>
      <c r="N18" s="22"/>
      <c r="O18" s="22"/>
      <c r="P18" s="22"/>
    </row>
    <row r="19" spans="9:16" x14ac:dyDescent="0.25">
      <c r="I19" s="20"/>
      <c r="J19" s="21"/>
    </row>
    <row r="20" spans="9:16" ht="12" customHeight="1" x14ac:dyDescent="0.25">
      <c r="I20" s="20"/>
      <c r="J20" s="21"/>
      <c r="L20" s="20"/>
      <c r="M20" s="22"/>
      <c r="N20" s="22"/>
      <c r="O20" s="22"/>
      <c r="P20" s="22"/>
    </row>
    <row r="21" spans="9:16" x14ac:dyDescent="0.25">
      <c r="J21" s="21"/>
      <c r="L21" s="20"/>
      <c r="M21" s="22"/>
      <c r="N21" s="22"/>
      <c r="O21" s="22"/>
      <c r="P21" s="22"/>
    </row>
    <row r="22" spans="9:16" ht="12" customHeight="1" x14ac:dyDescent="0.25">
      <c r="I22" s="20"/>
      <c r="J22" s="21"/>
      <c r="L22" s="20"/>
      <c r="M22" s="22"/>
      <c r="N22" s="22"/>
      <c r="O22" s="22"/>
      <c r="P22" s="22"/>
    </row>
    <row r="23" spans="9:16" ht="12" customHeight="1" x14ac:dyDescent="0.25">
      <c r="I23" s="20"/>
      <c r="J23" s="21"/>
      <c r="L23" s="20"/>
      <c r="M23" s="22"/>
      <c r="N23" s="22"/>
      <c r="O23" s="22"/>
      <c r="P23" s="22"/>
    </row>
    <row r="24" spans="9:16" ht="12" customHeight="1" x14ac:dyDescent="0.25">
      <c r="I24" s="20"/>
      <c r="J24" s="21"/>
    </row>
    <row r="25" spans="9:16" ht="12" customHeight="1" x14ac:dyDescent="0.25">
      <c r="I25" s="20"/>
      <c r="J25" s="21"/>
    </row>
  </sheetData>
  <mergeCells count="61">
    <mergeCell ref="D5:D6"/>
    <mergeCell ref="B5:B6"/>
    <mergeCell ref="C5:C6"/>
    <mergeCell ref="G5:G6"/>
    <mergeCell ref="E5:E6"/>
    <mergeCell ref="F5:F6"/>
    <mergeCell ref="B7:B8"/>
    <mergeCell ref="C7:C8"/>
    <mergeCell ref="G7:G8"/>
    <mergeCell ref="E7:E8"/>
    <mergeCell ref="F7:F8"/>
    <mergeCell ref="L5:L6"/>
    <mergeCell ref="M5:M6"/>
    <mergeCell ref="N5:N6"/>
    <mergeCell ref="O5:O6"/>
    <mergeCell ref="P5:P6"/>
    <mergeCell ref="O7:O8"/>
    <mergeCell ref="P7:P8"/>
    <mergeCell ref="B9:B10"/>
    <mergeCell ref="C9:C10"/>
    <mergeCell ref="G9:G10"/>
    <mergeCell ref="E9:E10"/>
    <mergeCell ref="F9:F10"/>
    <mergeCell ref="D9:D10"/>
    <mergeCell ref="I9:I10"/>
    <mergeCell ref="J9:J10"/>
    <mergeCell ref="D7:D8"/>
    <mergeCell ref="I7:I8"/>
    <mergeCell ref="J7:J8"/>
    <mergeCell ref="L7:L8"/>
    <mergeCell ref="M7:M8"/>
    <mergeCell ref="N7:N8"/>
    <mergeCell ref="B11:B12"/>
    <mergeCell ref="C11:C12"/>
    <mergeCell ref="G11:G12"/>
    <mergeCell ref="E11:E12"/>
    <mergeCell ref="F11:F12"/>
    <mergeCell ref="L9:L10"/>
    <mergeCell ref="M9:M10"/>
    <mergeCell ref="N9:N10"/>
    <mergeCell ref="O9:O10"/>
    <mergeCell ref="P9:P10"/>
    <mergeCell ref="L13:L14"/>
    <mergeCell ref="M13:M14"/>
    <mergeCell ref="D11:D12"/>
    <mergeCell ref="I11:I12"/>
    <mergeCell ref="J11:J12"/>
    <mergeCell ref="L11:L12"/>
    <mergeCell ref="M11:M12"/>
    <mergeCell ref="B13:B14"/>
    <mergeCell ref="C13:C14"/>
    <mergeCell ref="G13:G14"/>
    <mergeCell ref="E13:E14"/>
    <mergeCell ref="F13:F14"/>
    <mergeCell ref="D13:D14"/>
    <mergeCell ref="N13:N14"/>
    <mergeCell ref="O13:O14"/>
    <mergeCell ref="P13:P14"/>
    <mergeCell ref="O11:O12"/>
    <mergeCell ref="P11:P12"/>
    <mergeCell ref="N11:N12"/>
  </mergeCells>
  <hyperlinks>
    <hyperlink ref="D2" location="'Matriz ROP'!O2" display="VOLVER" xr:uid="{FA72A9EB-C582-4F60-8F76-A2138714A10D}"/>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84306-90BD-4007-972B-C6A1426CA412}">
  <sheetPr codeName="Hoja8"/>
  <dimension ref="B2:L95"/>
  <sheetViews>
    <sheetView workbookViewId="0">
      <selection activeCell="D9" sqref="D9"/>
    </sheetView>
  </sheetViews>
  <sheetFormatPr baseColWidth="10" defaultColWidth="11.453125" defaultRowHeight="14.5" x14ac:dyDescent="0.35"/>
  <cols>
    <col min="1" max="1" width="3.81640625" customWidth="1"/>
    <col min="2" max="2" width="42.81640625" bestFit="1" customWidth="1"/>
    <col min="3" max="3" width="2.7265625" customWidth="1"/>
    <col min="4" max="4" width="52.26953125" bestFit="1" customWidth="1"/>
    <col min="5" max="5" width="4.54296875" customWidth="1"/>
    <col min="6" max="6" width="97.1796875" bestFit="1" customWidth="1"/>
  </cols>
  <sheetData>
    <row r="2" spans="2:12" x14ac:dyDescent="0.35">
      <c r="B2" s="5" t="s">
        <v>130</v>
      </c>
      <c r="D2" s="5" t="s">
        <v>7</v>
      </c>
      <c r="F2" s="5" t="s">
        <v>8</v>
      </c>
    </row>
    <row r="3" spans="2:12" x14ac:dyDescent="0.35">
      <c r="B3" t="s">
        <v>27</v>
      </c>
      <c r="D3" t="s">
        <v>131</v>
      </c>
      <c r="F3" t="s">
        <v>29</v>
      </c>
      <c r="K3" s="1" t="s">
        <v>59</v>
      </c>
      <c r="L3">
        <v>1</v>
      </c>
    </row>
    <row r="4" spans="2:12" x14ac:dyDescent="0.35">
      <c r="B4" t="s">
        <v>132</v>
      </c>
      <c r="D4" t="s">
        <v>31</v>
      </c>
      <c r="F4" t="s">
        <v>133</v>
      </c>
      <c r="K4" s="2" t="s">
        <v>60</v>
      </c>
      <c r="L4">
        <v>2</v>
      </c>
    </row>
    <row r="5" spans="2:12" x14ac:dyDescent="0.35">
      <c r="B5" t="s">
        <v>30</v>
      </c>
      <c r="D5" t="s">
        <v>36</v>
      </c>
      <c r="F5" t="s">
        <v>134</v>
      </c>
      <c r="K5" s="2" t="s">
        <v>61</v>
      </c>
      <c r="L5">
        <v>3</v>
      </c>
    </row>
    <row r="6" spans="2:12" x14ac:dyDescent="0.35">
      <c r="B6" t="s">
        <v>135</v>
      </c>
      <c r="D6" t="s">
        <v>28</v>
      </c>
      <c r="F6" t="s">
        <v>136</v>
      </c>
      <c r="K6" s="2" t="s">
        <v>62</v>
      </c>
      <c r="L6">
        <v>4</v>
      </c>
    </row>
    <row r="7" spans="2:12" x14ac:dyDescent="0.35">
      <c r="B7" t="s">
        <v>137</v>
      </c>
      <c r="D7" t="s">
        <v>49</v>
      </c>
      <c r="F7" t="s">
        <v>138</v>
      </c>
      <c r="K7" s="2" t="s">
        <v>63</v>
      </c>
      <c r="L7">
        <v>5</v>
      </c>
    </row>
    <row r="8" spans="2:12" x14ac:dyDescent="0.35">
      <c r="B8" t="s">
        <v>139</v>
      </c>
      <c r="D8" t="s">
        <v>140</v>
      </c>
      <c r="F8" t="s">
        <v>141</v>
      </c>
    </row>
    <row r="9" spans="2:12" x14ac:dyDescent="0.35">
      <c r="B9" t="s">
        <v>39</v>
      </c>
      <c r="D9" t="s">
        <v>142</v>
      </c>
      <c r="F9" t="s">
        <v>143</v>
      </c>
    </row>
    <row r="10" spans="2:12" x14ac:dyDescent="0.35">
      <c r="B10" t="s">
        <v>144</v>
      </c>
      <c r="F10" t="s">
        <v>145</v>
      </c>
    </row>
    <row r="11" spans="2:12" x14ac:dyDescent="0.35">
      <c r="B11" t="s">
        <v>47</v>
      </c>
      <c r="F11" t="s">
        <v>146</v>
      </c>
    </row>
    <row r="12" spans="2:12" x14ac:dyDescent="0.35">
      <c r="B12" t="s">
        <v>147</v>
      </c>
      <c r="F12" t="s">
        <v>148</v>
      </c>
    </row>
    <row r="13" spans="2:12" x14ac:dyDescent="0.35">
      <c r="B13" t="s">
        <v>149</v>
      </c>
      <c r="F13" t="s">
        <v>150</v>
      </c>
    </row>
    <row r="14" spans="2:12" x14ac:dyDescent="0.35">
      <c r="B14" t="s">
        <v>151</v>
      </c>
      <c r="F14" t="s">
        <v>44</v>
      </c>
    </row>
    <row r="15" spans="2:12" x14ac:dyDescent="0.35">
      <c r="F15" t="s">
        <v>152</v>
      </c>
    </row>
    <row r="16" spans="2:12" x14ac:dyDescent="0.35">
      <c r="F16" t="s">
        <v>153</v>
      </c>
    </row>
    <row r="17" spans="6:6" x14ac:dyDescent="0.35">
      <c r="F17" t="s">
        <v>154</v>
      </c>
    </row>
    <row r="18" spans="6:6" x14ac:dyDescent="0.35">
      <c r="F18" t="s">
        <v>155</v>
      </c>
    </row>
    <row r="19" spans="6:6" x14ac:dyDescent="0.35">
      <c r="F19" t="s">
        <v>156</v>
      </c>
    </row>
    <row r="20" spans="6:6" x14ac:dyDescent="0.35">
      <c r="F20" t="s">
        <v>157</v>
      </c>
    </row>
    <row r="21" spans="6:6" x14ac:dyDescent="0.35">
      <c r="F21" t="s">
        <v>42</v>
      </c>
    </row>
    <row r="22" spans="6:6" x14ac:dyDescent="0.35">
      <c r="F22" t="s">
        <v>158</v>
      </c>
    </row>
    <row r="23" spans="6:6" x14ac:dyDescent="0.35">
      <c r="F23" t="s">
        <v>159</v>
      </c>
    </row>
    <row r="24" spans="6:6" x14ac:dyDescent="0.35">
      <c r="F24" t="s">
        <v>160</v>
      </c>
    </row>
    <row r="25" spans="6:6" x14ac:dyDescent="0.35">
      <c r="F25" t="s">
        <v>161</v>
      </c>
    </row>
    <row r="26" spans="6:6" x14ac:dyDescent="0.35">
      <c r="F26" t="s">
        <v>162</v>
      </c>
    </row>
    <row r="27" spans="6:6" x14ac:dyDescent="0.35">
      <c r="F27" t="s">
        <v>163</v>
      </c>
    </row>
    <row r="28" spans="6:6" x14ac:dyDescent="0.35">
      <c r="F28" t="s">
        <v>164</v>
      </c>
    </row>
    <row r="29" spans="6:6" x14ac:dyDescent="0.35">
      <c r="F29" t="s">
        <v>40</v>
      </c>
    </row>
    <row r="30" spans="6:6" x14ac:dyDescent="0.35">
      <c r="F30" t="s">
        <v>165</v>
      </c>
    </row>
    <row r="31" spans="6:6" x14ac:dyDescent="0.35">
      <c r="F31" t="s">
        <v>166</v>
      </c>
    </row>
    <row r="32" spans="6:6" x14ac:dyDescent="0.35">
      <c r="F32" t="s">
        <v>32</v>
      </c>
    </row>
    <row r="33" spans="6:6" x14ac:dyDescent="0.35">
      <c r="F33" t="s">
        <v>167</v>
      </c>
    </row>
    <row r="34" spans="6:6" x14ac:dyDescent="0.35">
      <c r="F34" t="s">
        <v>168</v>
      </c>
    </row>
    <row r="35" spans="6:6" x14ac:dyDescent="0.35">
      <c r="F35" t="s">
        <v>48</v>
      </c>
    </row>
    <row r="36" spans="6:6" x14ac:dyDescent="0.35">
      <c r="F36" t="s">
        <v>169</v>
      </c>
    </row>
    <row r="37" spans="6:6" x14ac:dyDescent="0.35">
      <c r="F37" t="s">
        <v>170</v>
      </c>
    </row>
    <row r="38" spans="6:6" x14ac:dyDescent="0.35">
      <c r="F38" t="s">
        <v>34</v>
      </c>
    </row>
    <row r="39" spans="6:6" x14ac:dyDescent="0.35">
      <c r="F39" t="s">
        <v>171</v>
      </c>
    </row>
    <row r="40" spans="6:6" x14ac:dyDescent="0.35">
      <c r="F40" t="s">
        <v>43</v>
      </c>
    </row>
    <row r="41" spans="6:6" x14ac:dyDescent="0.35">
      <c r="F41" t="s">
        <v>172</v>
      </c>
    </row>
    <row r="42" spans="6:6" x14ac:dyDescent="0.35">
      <c r="F42" t="s">
        <v>173</v>
      </c>
    </row>
    <row r="43" spans="6:6" x14ac:dyDescent="0.35">
      <c r="F43" t="s">
        <v>174</v>
      </c>
    </row>
    <row r="44" spans="6:6" x14ac:dyDescent="0.35">
      <c r="F44" t="s">
        <v>175</v>
      </c>
    </row>
    <row r="45" spans="6:6" x14ac:dyDescent="0.35">
      <c r="F45" t="s">
        <v>176</v>
      </c>
    </row>
    <row r="46" spans="6:6" x14ac:dyDescent="0.35">
      <c r="F46" t="s">
        <v>177</v>
      </c>
    </row>
    <row r="47" spans="6:6" x14ac:dyDescent="0.35">
      <c r="F47" t="s">
        <v>178</v>
      </c>
    </row>
    <row r="48" spans="6:6" x14ac:dyDescent="0.35">
      <c r="F48" t="s">
        <v>179</v>
      </c>
    </row>
    <row r="49" spans="6:6" x14ac:dyDescent="0.35">
      <c r="F49" t="s">
        <v>180</v>
      </c>
    </row>
    <row r="50" spans="6:6" x14ac:dyDescent="0.35">
      <c r="F50" t="s">
        <v>181</v>
      </c>
    </row>
    <row r="51" spans="6:6" x14ac:dyDescent="0.35">
      <c r="F51" t="s">
        <v>182</v>
      </c>
    </row>
    <row r="52" spans="6:6" x14ac:dyDescent="0.35">
      <c r="F52" t="s">
        <v>183</v>
      </c>
    </row>
    <row r="53" spans="6:6" x14ac:dyDescent="0.35">
      <c r="F53" t="s">
        <v>33</v>
      </c>
    </row>
    <row r="54" spans="6:6" x14ac:dyDescent="0.35">
      <c r="F54" t="s">
        <v>184</v>
      </c>
    </row>
    <row r="55" spans="6:6" x14ac:dyDescent="0.35">
      <c r="F55" t="s">
        <v>41</v>
      </c>
    </row>
    <row r="56" spans="6:6" x14ac:dyDescent="0.35">
      <c r="F56" t="s">
        <v>185</v>
      </c>
    </row>
    <row r="57" spans="6:6" x14ac:dyDescent="0.35">
      <c r="F57" t="s">
        <v>186</v>
      </c>
    </row>
    <row r="58" spans="6:6" x14ac:dyDescent="0.35">
      <c r="F58" t="s">
        <v>46</v>
      </c>
    </row>
    <row r="59" spans="6:6" x14ac:dyDescent="0.35">
      <c r="F59" t="s">
        <v>38</v>
      </c>
    </row>
    <row r="60" spans="6:6" x14ac:dyDescent="0.35">
      <c r="F60" t="s">
        <v>187</v>
      </c>
    </row>
    <row r="61" spans="6:6" x14ac:dyDescent="0.35">
      <c r="F61" t="s">
        <v>188</v>
      </c>
    </row>
    <row r="62" spans="6:6" x14ac:dyDescent="0.35">
      <c r="F62" t="s">
        <v>189</v>
      </c>
    </row>
    <row r="63" spans="6:6" x14ac:dyDescent="0.35">
      <c r="F63" t="s">
        <v>190</v>
      </c>
    </row>
    <row r="64" spans="6:6" x14ac:dyDescent="0.35">
      <c r="F64" t="s">
        <v>191</v>
      </c>
    </row>
    <row r="65" spans="6:6" x14ac:dyDescent="0.35">
      <c r="F65" t="s">
        <v>192</v>
      </c>
    </row>
    <row r="66" spans="6:6" x14ac:dyDescent="0.35">
      <c r="F66" t="s">
        <v>193</v>
      </c>
    </row>
    <row r="67" spans="6:6" x14ac:dyDescent="0.35">
      <c r="F67" t="s">
        <v>194</v>
      </c>
    </row>
    <row r="68" spans="6:6" x14ac:dyDescent="0.35">
      <c r="F68" t="s">
        <v>195</v>
      </c>
    </row>
    <row r="69" spans="6:6" x14ac:dyDescent="0.35">
      <c r="F69" t="s">
        <v>196</v>
      </c>
    </row>
    <row r="70" spans="6:6" x14ac:dyDescent="0.35">
      <c r="F70" t="s">
        <v>197</v>
      </c>
    </row>
    <row r="71" spans="6:6" x14ac:dyDescent="0.35">
      <c r="F71" t="s">
        <v>198</v>
      </c>
    </row>
    <row r="72" spans="6:6" x14ac:dyDescent="0.35">
      <c r="F72" t="s">
        <v>199</v>
      </c>
    </row>
    <row r="73" spans="6:6" x14ac:dyDescent="0.35">
      <c r="F73" t="s">
        <v>200</v>
      </c>
    </row>
    <row r="74" spans="6:6" x14ac:dyDescent="0.35">
      <c r="F74" t="s">
        <v>201</v>
      </c>
    </row>
    <row r="75" spans="6:6" x14ac:dyDescent="0.35">
      <c r="F75" t="s">
        <v>202</v>
      </c>
    </row>
    <row r="76" spans="6:6" x14ac:dyDescent="0.35">
      <c r="F76" t="s">
        <v>203</v>
      </c>
    </row>
    <row r="77" spans="6:6" x14ac:dyDescent="0.35">
      <c r="F77" t="s">
        <v>204</v>
      </c>
    </row>
    <row r="78" spans="6:6" x14ac:dyDescent="0.35">
      <c r="F78" t="s">
        <v>205</v>
      </c>
    </row>
    <row r="79" spans="6:6" x14ac:dyDescent="0.35">
      <c r="F79" t="s">
        <v>206</v>
      </c>
    </row>
    <row r="80" spans="6:6" x14ac:dyDescent="0.35">
      <c r="F80" t="s">
        <v>207</v>
      </c>
    </row>
    <row r="81" spans="6:6" x14ac:dyDescent="0.35">
      <c r="F81" t="s">
        <v>208</v>
      </c>
    </row>
    <row r="82" spans="6:6" x14ac:dyDescent="0.35">
      <c r="F82" t="s">
        <v>209</v>
      </c>
    </row>
    <row r="83" spans="6:6" x14ac:dyDescent="0.35">
      <c r="F83" t="s">
        <v>210</v>
      </c>
    </row>
    <row r="84" spans="6:6" x14ac:dyDescent="0.35">
      <c r="F84" t="s">
        <v>50</v>
      </c>
    </row>
    <row r="85" spans="6:6" x14ac:dyDescent="0.35">
      <c r="F85" t="s">
        <v>211</v>
      </c>
    </row>
    <row r="86" spans="6:6" x14ac:dyDescent="0.35">
      <c r="F86" t="s">
        <v>212</v>
      </c>
    </row>
    <row r="87" spans="6:6" x14ac:dyDescent="0.35">
      <c r="F87" t="s">
        <v>213</v>
      </c>
    </row>
    <row r="88" spans="6:6" x14ac:dyDescent="0.35">
      <c r="F88" t="s">
        <v>214</v>
      </c>
    </row>
    <row r="89" spans="6:6" x14ac:dyDescent="0.35">
      <c r="F89" t="s">
        <v>215</v>
      </c>
    </row>
    <row r="90" spans="6:6" x14ac:dyDescent="0.35">
      <c r="F90" t="s">
        <v>216</v>
      </c>
    </row>
    <row r="91" spans="6:6" x14ac:dyDescent="0.35">
      <c r="F91" t="s">
        <v>37</v>
      </c>
    </row>
    <row r="92" spans="6:6" x14ac:dyDescent="0.35">
      <c r="F92" t="s">
        <v>217</v>
      </c>
    </row>
    <row r="93" spans="6:6" x14ac:dyDescent="0.35">
      <c r="F93" t="s">
        <v>45</v>
      </c>
    </row>
    <row r="94" spans="6:6" x14ac:dyDescent="0.35">
      <c r="F94" t="s">
        <v>218</v>
      </c>
    </row>
    <row r="95" spans="6:6" x14ac:dyDescent="0.35">
      <c r="F95" t="s">
        <v>219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T94"/>
  <sheetViews>
    <sheetView topLeftCell="I1" zoomScale="90" zoomScaleNormal="90" workbookViewId="0">
      <selection activeCell="S21" sqref="S21"/>
    </sheetView>
  </sheetViews>
  <sheetFormatPr baseColWidth="10" defaultColWidth="11.453125" defaultRowHeight="14.5" x14ac:dyDescent="0.35"/>
  <cols>
    <col min="16" max="16" width="22.26953125" bestFit="1" customWidth="1"/>
    <col min="17" max="17" width="36.26953125" bestFit="1" customWidth="1"/>
    <col min="18" max="18" width="14.54296875" customWidth="1"/>
    <col min="19" max="19" width="32.453125" bestFit="1" customWidth="1"/>
    <col min="20" max="20" width="37.7265625" bestFit="1" customWidth="1"/>
  </cols>
  <sheetData>
    <row r="1" spans="1:20" x14ac:dyDescent="0.35">
      <c r="A1" t="s">
        <v>130</v>
      </c>
      <c r="D1" t="s">
        <v>7</v>
      </c>
      <c r="G1" t="s">
        <v>8</v>
      </c>
      <c r="P1" s="110" t="s">
        <v>237</v>
      </c>
      <c r="Q1" s="110" t="s">
        <v>238</v>
      </c>
      <c r="R1" s="110" t="s">
        <v>240</v>
      </c>
      <c r="S1" s="110" t="s">
        <v>247</v>
      </c>
      <c r="T1" s="110" t="s">
        <v>239</v>
      </c>
    </row>
    <row r="2" spans="1:20" x14ac:dyDescent="0.35">
      <c r="A2" t="s">
        <v>27</v>
      </c>
      <c r="D2" t="s">
        <v>131</v>
      </c>
      <c r="G2" t="s">
        <v>29</v>
      </c>
      <c r="L2" s="1" t="s">
        <v>59</v>
      </c>
      <c r="M2">
        <v>1</v>
      </c>
      <c r="P2" s="111" t="s">
        <v>241</v>
      </c>
      <c r="Q2" s="111" t="s">
        <v>470</v>
      </c>
      <c r="R2" s="111" t="s">
        <v>244</v>
      </c>
      <c r="S2" s="111" t="s">
        <v>393</v>
      </c>
      <c r="T2" s="111" t="s">
        <v>468</v>
      </c>
    </row>
    <row r="3" spans="1:20" x14ac:dyDescent="0.35">
      <c r="A3" t="s">
        <v>132</v>
      </c>
      <c r="D3" t="s">
        <v>31</v>
      </c>
      <c r="G3" t="s">
        <v>133</v>
      </c>
      <c r="L3" s="2" t="s">
        <v>60</v>
      </c>
      <c r="M3">
        <v>2</v>
      </c>
      <c r="P3" s="111" t="s">
        <v>376</v>
      </c>
      <c r="Q3" s="111" t="s">
        <v>471</v>
      </c>
      <c r="R3" s="111" t="s">
        <v>245</v>
      </c>
      <c r="S3" s="111" t="s">
        <v>378</v>
      </c>
      <c r="T3" s="111" t="s">
        <v>469</v>
      </c>
    </row>
    <row r="4" spans="1:20" x14ac:dyDescent="0.35">
      <c r="A4" t="s">
        <v>30</v>
      </c>
      <c r="D4" t="s">
        <v>36</v>
      </c>
      <c r="G4" t="s">
        <v>134</v>
      </c>
      <c r="L4" s="2" t="s">
        <v>61</v>
      </c>
      <c r="M4">
        <v>3</v>
      </c>
      <c r="P4" s="111" t="s">
        <v>250</v>
      </c>
      <c r="S4" s="111" t="s">
        <v>379</v>
      </c>
      <c r="T4" s="111"/>
    </row>
    <row r="5" spans="1:20" x14ac:dyDescent="0.35">
      <c r="A5" t="s">
        <v>135</v>
      </c>
      <c r="D5" t="s">
        <v>28</v>
      </c>
      <c r="G5" t="s">
        <v>136</v>
      </c>
      <c r="L5" s="2" t="s">
        <v>62</v>
      </c>
      <c r="M5">
        <v>4</v>
      </c>
      <c r="S5" s="111"/>
      <c r="T5" s="111"/>
    </row>
    <row r="6" spans="1:20" x14ac:dyDescent="0.35">
      <c r="A6" t="s">
        <v>137</v>
      </c>
      <c r="D6" t="s">
        <v>49</v>
      </c>
      <c r="G6" t="s">
        <v>138</v>
      </c>
      <c r="L6" s="2" t="s">
        <v>63</v>
      </c>
      <c r="M6">
        <v>5</v>
      </c>
      <c r="S6" s="111"/>
      <c r="T6" s="116"/>
    </row>
    <row r="7" spans="1:20" x14ac:dyDescent="0.35">
      <c r="A7" t="s">
        <v>139</v>
      </c>
      <c r="D7" t="s">
        <v>140</v>
      </c>
      <c r="G7" t="s">
        <v>141</v>
      </c>
      <c r="S7" s="111"/>
      <c r="T7" s="111"/>
    </row>
    <row r="8" spans="1:20" x14ac:dyDescent="0.35">
      <c r="A8" t="s">
        <v>39</v>
      </c>
      <c r="D8" t="s">
        <v>142</v>
      </c>
      <c r="G8" t="s">
        <v>143</v>
      </c>
      <c r="T8" s="111"/>
    </row>
    <row r="9" spans="1:20" x14ac:dyDescent="0.35">
      <c r="A9" t="s">
        <v>144</v>
      </c>
      <c r="G9" t="s">
        <v>145</v>
      </c>
    </row>
    <row r="10" spans="1:20" x14ac:dyDescent="0.35">
      <c r="A10" t="s">
        <v>47</v>
      </c>
      <c r="G10" t="s">
        <v>146</v>
      </c>
    </row>
    <row r="11" spans="1:20" x14ac:dyDescent="0.35">
      <c r="A11" t="s">
        <v>147</v>
      </c>
      <c r="G11" t="s">
        <v>148</v>
      </c>
    </row>
    <row r="12" spans="1:20" x14ac:dyDescent="0.35">
      <c r="A12" t="s">
        <v>149</v>
      </c>
      <c r="G12" t="s">
        <v>150</v>
      </c>
    </row>
    <row r="13" spans="1:20" x14ac:dyDescent="0.35">
      <c r="A13" t="s">
        <v>151</v>
      </c>
      <c r="G13" t="s">
        <v>44</v>
      </c>
    </row>
    <row r="14" spans="1:20" x14ac:dyDescent="0.35">
      <c r="G14" t="s">
        <v>152</v>
      </c>
    </row>
    <row r="15" spans="1:20" x14ac:dyDescent="0.35">
      <c r="G15" t="s">
        <v>153</v>
      </c>
    </row>
    <row r="16" spans="1:20" x14ac:dyDescent="0.35">
      <c r="G16" t="s">
        <v>154</v>
      </c>
    </row>
    <row r="17" spans="7:7" x14ac:dyDescent="0.35">
      <c r="G17" t="s">
        <v>155</v>
      </c>
    </row>
    <row r="18" spans="7:7" x14ac:dyDescent="0.35">
      <c r="G18" t="s">
        <v>156</v>
      </c>
    </row>
    <row r="19" spans="7:7" x14ac:dyDescent="0.35">
      <c r="G19" t="s">
        <v>157</v>
      </c>
    </row>
    <row r="20" spans="7:7" x14ac:dyDescent="0.35">
      <c r="G20" t="s">
        <v>42</v>
      </c>
    </row>
    <row r="21" spans="7:7" x14ac:dyDescent="0.35">
      <c r="G21" t="s">
        <v>158</v>
      </c>
    </row>
    <row r="22" spans="7:7" x14ac:dyDescent="0.35">
      <c r="G22" t="s">
        <v>159</v>
      </c>
    </row>
    <row r="23" spans="7:7" x14ac:dyDescent="0.35">
      <c r="G23" t="s">
        <v>160</v>
      </c>
    </row>
    <row r="24" spans="7:7" x14ac:dyDescent="0.35">
      <c r="G24" t="s">
        <v>161</v>
      </c>
    </row>
    <row r="25" spans="7:7" x14ac:dyDescent="0.35">
      <c r="G25" t="s">
        <v>162</v>
      </c>
    </row>
    <row r="26" spans="7:7" x14ac:dyDescent="0.35">
      <c r="G26" t="s">
        <v>163</v>
      </c>
    </row>
    <row r="27" spans="7:7" x14ac:dyDescent="0.35">
      <c r="G27" t="s">
        <v>164</v>
      </c>
    </row>
    <row r="28" spans="7:7" x14ac:dyDescent="0.35">
      <c r="G28" t="s">
        <v>40</v>
      </c>
    </row>
    <row r="29" spans="7:7" x14ac:dyDescent="0.35">
      <c r="G29" t="s">
        <v>165</v>
      </c>
    </row>
    <row r="30" spans="7:7" x14ac:dyDescent="0.35">
      <c r="G30" t="s">
        <v>166</v>
      </c>
    </row>
    <row r="31" spans="7:7" x14ac:dyDescent="0.35">
      <c r="G31" t="s">
        <v>32</v>
      </c>
    </row>
    <row r="32" spans="7:7" x14ac:dyDescent="0.35">
      <c r="G32" t="s">
        <v>167</v>
      </c>
    </row>
    <row r="33" spans="7:7" x14ac:dyDescent="0.35">
      <c r="G33" t="s">
        <v>168</v>
      </c>
    </row>
    <row r="34" spans="7:7" x14ac:dyDescent="0.35">
      <c r="G34" t="s">
        <v>48</v>
      </c>
    </row>
    <row r="35" spans="7:7" x14ac:dyDescent="0.35">
      <c r="G35" t="s">
        <v>169</v>
      </c>
    </row>
    <row r="36" spans="7:7" x14ac:dyDescent="0.35">
      <c r="G36" t="s">
        <v>170</v>
      </c>
    </row>
    <row r="37" spans="7:7" x14ac:dyDescent="0.35">
      <c r="G37" t="s">
        <v>34</v>
      </c>
    </row>
    <row r="38" spans="7:7" x14ac:dyDescent="0.35">
      <c r="G38" t="s">
        <v>171</v>
      </c>
    </row>
    <row r="39" spans="7:7" x14ac:dyDescent="0.35">
      <c r="G39" t="s">
        <v>43</v>
      </c>
    </row>
    <row r="40" spans="7:7" x14ac:dyDescent="0.35">
      <c r="G40" t="s">
        <v>172</v>
      </c>
    </row>
    <row r="41" spans="7:7" x14ac:dyDescent="0.35">
      <c r="G41" t="s">
        <v>173</v>
      </c>
    </row>
    <row r="42" spans="7:7" x14ac:dyDescent="0.35">
      <c r="G42" t="s">
        <v>174</v>
      </c>
    </row>
    <row r="43" spans="7:7" x14ac:dyDescent="0.35">
      <c r="G43" t="s">
        <v>175</v>
      </c>
    </row>
    <row r="44" spans="7:7" x14ac:dyDescent="0.35">
      <c r="G44" t="s">
        <v>176</v>
      </c>
    </row>
    <row r="45" spans="7:7" x14ac:dyDescent="0.35">
      <c r="G45" t="s">
        <v>177</v>
      </c>
    </row>
    <row r="46" spans="7:7" x14ac:dyDescent="0.35">
      <c r="G46" t="s">
        <v>178</v>
      </c>
    </row>
    <row r="47" spans="7:7" x14ac:dyDescent="0.35">
      <c r="G47" t="s">
        <v>179</v>
      </c>
    </row>
    <row r="48" spans="7:7" x14ac:dyDescent="0.35">
      <c r="G48" t="s">
        <v>180</v>
      </c>
    </row>
    <row r="49" spans="7:7" x14ac:dyDescent="0.35">
      <c r="G49" t="s">
        <v>181</v>
      </c>
    </row>
    <row r="50" spans="7:7" x14ac:dyDescent="0.35">
      <c r="G50" t="s">
        <v>182</v>
      </c>
    </row>
    <row r="51" spans="7:7" x14ac:dyDescent="0.35">
      <c r="G51" t="s">
        <v>183</v>
      </c>
    </row>
    <row r="52" spans="7:7" x14ac:dyDescent="0.35">
      <c r="G52" t="s">
        <v>33</v>
      </c>
    </row>
    <row r="53" spans="7:7" x14ac:dyDescent="0.35">
      <c r="G53" t="s">
        <v>184</v>
      </c>
    </row>
    <row r="54" spans="7:7" x14ac:dyDescent="0.35">
      <c r="G54" t="s">
        <v>41</v>
      </c>
    </row>
    <row r="55" spans="7:7" x14ac:dyDescent="0.35">
      <c r="G55" t="s">
        <v>185</v>
      </c>
    </row>
    <row r="56" spans="7:7" x14ac:dyDescent="0.35">
      <c r="G56" t="s">
        <v>186</v>
      </c>
    </row>
    <row r="57" spans="7:7" x14ac:dyDescent="0.35">
      <c r="G57" t="s">
        <v>46</v>
      </c>
    </row>
    <row r="58" spans="7:7" x14ac:dyDescent="0.35">
      <c r="G58" t="s">
        <v>38</v>
      </c>
    </row>
    <row r="59" spans="7:7" x14ac:dyDescent="0.35">
      <c r="G59" t="s">
        <v>187</v>
      </c>
    </row>
    <row r="60" spans="7:7" x14ac:dyDescent="0.35">
      <c r="G60" t="s">
        <v>188</v>
      </c>
    </row>
    <row r="61" spans="7:7" x14ac:dyDescent="0.35">
      <c r="G61" t="s">
        <v>189</v>
      </c>
    </row>
    <row r="62" spans="7:7" x14ac:dyDescent="0.35">
      <c r="G62" t="s">
        <v>190</v>
      </c>
    </row>
    <row r="63" spans="7:7" x14ac:dyDescent="0.35">
      <c r="G63" t="s">
        <v>191</v>
      </c>
    </row>
    <row r="64" spans="7:7" x14ac:dyDescent="0.35">
      <c r="G64" t="s">
        <v>192</v>
      </c>
    </row>
    <row r="65" spans="7:7" x14ac:dyDescent="0.35">
      <c r="G65" t="s">
        <v>193</v>
      </c>
    </row>
    <row r="66" spans="7:7" x14ac:dyDescent="0.35">
      <c r="G66" t="s">
        <v>194</v>
      </c>
    </row>
    <row r="67" spans="7:7" x14ac:dyDescent="0.35">
      <c r="G67" t="s">
        <v>195</v>
      </c>
    </row>
    <row r="68" spans="7:7" x14ac:dyDescent="0.35">
      <c r="G68" t="s">
        <v>196</v>
      </c>
    </row>
    <row r="69" spans="7:7" x14ac:dyDescent="0.35">
      <c r="G69" t="s">
        <v>197</v>
      </c>
    </row>
    <row r="70" spans="7:7" x14ac:dyDescent="0.35">
      <c r="G70" t="s">
        <v>198</v>
      </c>
    </row>
    <row r="71" spans="7:7" x14ac:dyDescent="0.35">
      <c r="G71" t="s">
        <v>199</v>
      </c>
    </row>
    <row r="72" spans="7:7" x14ac:dyDescent="0.35">
      <c r="G72" t="s">
        <v>200</v>
      </c>
    </row>
    <row r="73" spans="7:7" x14ac:dyDescent="0.35">
      <c r="G73" t="s">
        <v>201</v>
      </c>
    </row>
    <row r="74" spans="7:7" x14ac:dyDescent="0.35">
      <c r="G74" t="s">
        <v>202</v>
      </c>
    </row>
    <row r="75" spans="7:7" x14ac:dyDescent="0.35">
      <c r="G75" t="s">
        <v>203</v>
      </c>
    </row>
    <row r="76" spans="7:7" x14ac:dyDescent="0.35">
      <c r="G76" t="s">
        <v>204</v>
      </c>
    </row>
    <row r="77" spans="7:7" x14ac:dyDescent="0.35">
      <c r="G77" t="s">
        <v>205</v>
      </c>
    </row>
    <row r="78" spans="7:7" x14ac:dyDescent="0.35">
      <c r="G78" t="s">
        <v>206</v>
      </c>
    </row>
    <row r="79" spans="7:7" x14ac:dyDescent="0.35">
      <c r="G79" t="s">
        <v>207</v>
      </c>
    </row>
    <row r="80" spans="7:7" x14ac:dyDescent="0.35">
      <c r="G80" t="s">
        <v>208</v>
      </c>
    </row>
    <row r="81" spans="7:7" x14ac:dyDescent="0.35">
      <c r="G81" t="s">
        <v>209</v>
      </c>
    </row>
    <row r="82" spans="7:7" x14ac:dyDescent="0.35">
      <c r="G82" t="s">
        <v>210</v>
      </c>
    </row>
    <row r="83" spans="7:7" x14ac:dyDescent="0.35">
      <c r="G83" t="s">
        <v>50</v>
      </c>
    </row>
    <row r="84" spans="7:7" x14ac:dyDescent="0.35">
      <c r="G84" t="s">
        <v>211</v>
      </c>
    </row>
    <row r="85" spans="7:7" x14ac:dyDescent="0.35">
      <c r="G85" t="s">
        <v>212</v>
      </c>
    </row>
    <row r="86" spans="7:7" x14ac:dyDescent="0.35">
      <c r="G86" t="s">
        <v>213</v>
      </c>
    </row>
    <row r="87" spans="7:7" x14ac:dyDescent="0.35">
      <c r="G87" t="s">
        <v>214</v>
      </c>
    </row>
    <row r="88" spans="7:7" x14ac:dyDescent="0.35">
      <c r="G88" t="s">
        <v>215</v>
      </c>
    </row>
    <row r="89" spans="7:7" x14ac:dyDescent="0.35">
      <c r="G89" t="s">
        <v>216</v>
      </c>
    </row>
    <row r="90" spans="7:7" x14ac:dyDescent="0.35">
      <c r="G90" t="s">
        <v>37</v>
      </c>
    </row>
    <row r="91" spans="7:7" x14ac:dyDescent="0.35">
      <c r="G91" t="s">
        <v>217</v>
      </c>
    </row>
    <row r="92" spans="7:7" x14ac:dyDescent="0.35">
      <c r="G92" t="s">
        <v>45</v>
      </c>
    </row>
    <row r="93" spans="7:7" x14ac:dyDescent="0.35">
      <c r="G93" t="s">
        <v>218</v>
      </c>
    </row>
    <row r="94" spans="7:7" x14ac:dyDescent="0.35">
      <c r="G94" t="s">
        <v>219</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d5c54ad8-d7cf-49e7-b61c-f33da02eb7ee">
      <UserInfo>
        <DisplayName>Aranda Montecinos Carolina Ivonne</DisplayName>
        <AccountId>72</AccountId>
        <AccountType/>
      </UserInfo>
      <UserInfo>
        <DisplayName>Aguilar Sepulveda Renato Luis</DisplayName>
        <AccountId>73</AccountId>
        <AccountType/>
      </UserInfo>
      <UserInfo>
        <DisplayName>Canales Salvo Flavio Esteban</DisplayName>
        <AccountId>74</AccountId>
        <AccountType/>
      </UserInfo>
    </SharedWithUsers>
    <_ip_UnifiedCompliancePolicyUIAction xmlns="http://schemas.microsoft.com/sharepoint/v3" xsi:nil="true"/>
    <_ip_UnifiedCompliancePolicyProperties xmlns="http://schemas.microsoft.com/sharepoint/v3" xsi:nil="true"/>
    <TaxCatchAll xmlns="d5c54ad8-d7cf-49e7-b61c-f33da02eb7ee" xsi:nil="true"/>
    <lcf76f155ced4ddcb4097134ff3c332f xmlns="6339989d-d4a4-4c01-aaec-16747301de82">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9264B099CA907E4FB931DB04395EBDC3" ma:contentTypeVersion="18" ma:contentTypeDescription="Crear nuevo documento." ma:contentTypeScope="" ma:versionID="3d0a70e7f28c4e308254119745d254e6">
  <xsd:schema xmlns:xsd="http://www.w3.org/2001/XMLSchema" xmlns:xs="http://www.w3.org/2001/XMLSchema" xmlns:p="http://schemas.microsoft.com/office/2006/metadata/properties" xmlns:ns1="http://schemas.microsoft.com/sharepoint/v3" xmlns:ns2="6339989d-d4a4-4c01-aaec-16747301de82" xmlns:ns3="d5c54ad8-d7cf-49e7-b61c-f33da02eb7ee" targetNamespace="http://schemas.microsoft.com/office/2006/metadata/properties" ma:root="true" ma:fieldsID="cb7af127e459f46924e68ec1e46a299f" ns1:_="" ns2:_="" ns3:_="">
    <xsd:import namespace="http://schemas.microsoft.com/sharepoint/v3"/>
    <xsd:import namespace="6339989d-d4a4-4c01-aaec-16747301de82"/>
    <xsd:import namespace="d5c54ad8-d7cf-49e7-b61c-f33da02eb7e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1:_ip_UnifiedCompliancePolicyProperties" minOccurs="0"/>
                <xsd:element ref="ns1:_ip_UnifiedCompliancePolicyUIAc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Propiedades de la Directiva de cumplimiento unificado" ma:hidden="true" ma:internalName="_ip_UnifiedCompliancePolicyProperties">
      <xsd:simpleType>
        <xsd:restriction base="dms:Note"/>
      </xsd:simpleType>
    </xsd:element>
    <xsd:element name="_ip_UnifiedCompliancePolicyUIAction" ma:index="23" nillable="true" ma:displayName="Acción de IU de la Directiva de cumplimiento unificado"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339989d-d4a4-4c01-aaec-16747301de8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bffbd04e-5498-4076-a00e-e64e132dc74f" ma:termSetId="09814cd3-568e-fe90-9814-8d621ff8fb84" ma:anchorId="fba54fb3-c3e1-fe81-a776-ca4b69148c4d" ma:open="true" ma:isKeyword="false">
      <xsd:complexType>
        <xsd:sequence>
          <xsd:element ref="pc:Terms" minOccurs="0" maxOccurs="1"/>
        </xsd:sequence>
      </xsd:complexType>
    </xsd:element>
    <xsd:element name="MediaLengthInSeconds" ma:index="20" nillable="true" ma:displayName="MediaLengthInSeconds" ma:hidden="true" ma:internalName="MediaLengthInSeconds" ma:readOnly="true">
      <xsd:simpleType>
        <xsd:restriction base="dms:Unknow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5c54ad8-d7cf-49e7-b61c-f33da02eb7ee"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19" nillable="true" ma:displayName="Taxonomy Catch All Column" ma:hidden="true" ma:list="{8072d03c-a2fc-479f-ae21-fbb155ec23fe}" ma:internalName="TaxCatchAll" ma:showField="CatchAllData" ma:web="d5c54ad8-d7cf-49e7-b61c-f33da02eb7e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801B5A-9B91-4D08-98B1-00221BC3C549}">
  <ds:schemaRefs>
    <ds:schemaRef ds:uri="http://schemas.microsoft.com/sharepoint/v3/contenttype/forms"/>
  </ds:schemaRefs>
</ds:datastoreItem>
</file>

<file path=customXml/itemProps2.xml><?xml version="1.0" encoding="utf-8"?>
<ds:datastoreItem xmlns:ds="http://schemas.openxmlformats.org/officeDocument/2006/customXml" ds:itemID="{3CE35FBF-F9C9-4177-B2A4-4A8FB0571344}">
  <ds:schemaRefs>
    <ds:schemaRef ds:uri="6339989d-d4a4-4c01-aaec-16747301de82"/>
    <ds:schemaRef ds:uri="http://purl.org/dc/terms/"/>
    <ds:schemaRef ds:uri="http://schemas.microsoft.com/office/2006/metadata/properties"/>
    <ds:schemaRef ds:uri="http://schemas.microsoft.com/office/2006/documentManagement/types"/>
    <ds:schemaRef ds:uri="http://schemas.microsoft.com/sharepoint/v3"/>
    <ds:schemaRef ds:uri="http://schemas.microsoft.com/office/infopath/2007/PartnerControls"/>
    <ds:schemaRef ds:uri="http://purl.org/dc/elements/1.1/"/>
    <ds:schemaRef ds:uri="http://schemas.openxmlformats.org/package/2006/metadata/core-properties"/>
    <ds:schemaRef ds:uri="d5c54ad8-d7cf-49e7-b61c-f33da02eb7ee"/>
    <ds:schemaRef ds:uri="http://www.w3.org/XML/1998/namespace"/>
    <ds:schemaRef ds:uri="http://purl.org/dc/dcmitype/"/>
  </ds:schemaRefs>
</ds:datastoreItem>
</file>

<file path=customXml/itemProps3.xml><?xml version="1.0" encoding="utf-8"?>
<ds:datastoreItem xmlns:ds="http://schemas.openxmlformats.org/officeDocument/2006/customXml" ds:itemID="{02EEA419-2F61-4B53-84B8-65728B5F9F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339989d-d4a4-4c01-aaec-16747301de82"/>
    <ds:schemaRef ds:uri="d5c54ad8-d7cf-49e7-b61c-f33da02eb7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2</vt:i4>
      </vt:variant>
    </vt:vector>
  </HeadingPairs>
  <TitlesOfParts>
    <vt:vector size="13" baseType="lpstr">
      <vt:lpstr>V°B°</vt:lpstr>
      <vt:lpstr>Matriz ROP</vt:lpstr>
      <vt:lpstr>Escala Controles.</vt:lpstr>
      <vt:lpstr>inherente - residual </vt:lpstr>
      <vt:lpstr>Escala Control</vt:lpstr>
      <vt:lpstr>KRI</vt:lpstr>
      <vt:lpstr>PA</vt:lpstr>
      <vt:lpstr>Escala controles</vt:lpstr>
      <vt:lpstr>Escala</vt:lpstr>
      <vt:lpstr>Tipologías</vt:lpstr>
      <vt:lpstr>Hoja1</vt:lpstr>
      <vt:lpstr>'Matriz ROP'!Área_de_impresión</vt:lpstr>
      <vt:lpstr>PA!Área_de_impresión</vt:lpstr>
    </vt:vector>
  </TitlesOfParts>
  <Manager/>
  <Company>BancoEstado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Nibaldo Díaz</dc:creator>
  <cp:keywords/>
  <dc:description/>
  <cp:lastModifiedBy>Munoz Alvarado Karina Andrea</cp:lastModifiedBy>
  <cp:revision/>
  <dcterms:created xsi:type="dcterms:W3CDTF">2019-03-05T18:09:22Z</dcterms:created>
  <dcterms:modified xsi:type="dcterms:W3CDTF">2026-02-05T02:11:15Z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0x0101003A2E2845177E594A8A535D989BD147DD</vt:lpwstr>
  </property>
  <property fmtid="{D5CDD505-2E9C-101B-9397-08002B2CF9AE}" pid="4" name="MediaServiceImageTags">
    <vt:lpwstr/>
  </property>
  <property fmtid="{D5CDD505-2E9C-101B-9397-08002B2CF9AE}" pid="5" name="Order">
    <vt:r8>517000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TriggerFlowInfo">
    <vt:lpwstr/>
  </property>
  <property fmtid="{D5CDD505-2E9C-101B-9397-08002B2CF9AE}" pid="10" name="ComplianceAssetId">
    <vt:lpwstr/>
  </property>
  <property fmtid="{D5CDD505-2E9C-101B-9397-08002B2CF9AE}" pid="11" name="TemplateUrl">
    <vt:lpwstr/>
  </property>
</Properties>
</file>